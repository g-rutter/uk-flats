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7bc2c6a934e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10ccea50e564aba"/>
    <x:sheet xmlns:r="http://schemas.openxmlformats.org/officeDocument/2006/relationships" name="Broad Screen" sheetId="2" r:id="R2dde4e67eb7842a6"/>
    <x:sheet xmlns:r="http://schemas.openxmlformats.org/officeDocument/2006/relationships" name="Reasons &amp; Sources" sheetId="3" r:id="R2651bbdbad174d15"/>
    <x:sheet xmlns:r="http://schemas.openxmlformats.org/officeDocument/2006/relationships" name="Buy Ranking" sheetId="4" r:id="R1439ce36043f412a"/>
    <x:sheet xmlns:r="http://schemas.openxmlformats.org/officeDocument/2006/relationships" name="Rent Ranking" sheetId="5" r:id="R745a8d74e8514f2d"/>
    <x:sheet xmlns:r="http://schemas.openxmlformats.org/officeDocument/2006/relationships" name="Proposed Shortlist" sheetId="6" r:id="R188332a589aa4bee"/>
    <x:sheet xmlns:r="http://schemas.openxmlformats.org/officeDocument/2006/relationships" name="Evidence Log" sheetId="7" r:id="Rafff8c6dc4fe4147"/>
    <x:sheet xmlns:r="http://schemas.openxmlformats.org/officeDocument/2006/relationships" name="Methodology" sheetId="8" r:id="R4bfa9fa3296747bb"/>
    <x:sheet xmlns:r="http://schemas.openxmlformats.org/officeDocument/2006/relationships" name="QA &amp; Resume" sheetId="9" r:id="R5958585fa03142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£&quot;#,##0"/>
    <x:numFmt numFmtId="201" formatCode="0.0000"/>
    <x:numFmt numFmtId="202" formatCode="0.0"/>
    <x:numFmt numFmtId="203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87A7A"/>
      </x:patternFill>
    </x:fill>
    <x:fill>
      <x:patternFill patternType="solid">
        <x:fgColor rgb="FFEAF2F5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200" fontId="3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top"/>
    </x:xf>
    <x:xf numFmtId="202" fontId="3" fillId="0" borderId="0" xfId="0" applyNumberFormat="1" applyFont="1" applyFill="1" applyBorder="1" applyAlignment="1">
      <x:alignment vertical="top"/>
    </x:xf>
    <x:xf numFmtId="203" fontId="3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8723fdb93741ad" /><Relationship Type="http://schemas.openxmlformats.org/officeDocument/2006/relationships/theme" Target="/xl/theme/theme1.xml" Id="R0e113fa7b9194afb" /><Relationship Type="http://schemas.openxmlformats.org/officeDocument/2006/relationships/sharedStrings" Target="/xl/sharedStrings.xml" Id="Rb7d10aa926af47f5" /><Relationship Type="http://schemas.openxmlformats.org/officeDocument/2006/relationships/worksheet" Target="/xl/worksheets/sheet1.xml" Id="R310ccea50e564aba" /><Relationship Type="http://schemas.openxmlformats.org/officeDocument/2006/relationships/worksheet" Target="/xl/worksheets/sheet2.xml" Id="R2dde4e67eb7842a6" /><Relationship Type="http://schemas.openxmlformats.org/officeDocument/2006/relationships/worksheet" Target="/xl/worksheets/sheet3.xml" Id="R2651bbdbad174d15" /><Relationship Type="http://schemas.openxmlformats.org/officeDocument/2006/relationships/worksheet" Target="/xl/worksheets/sheet4.xml" Id="R1439ce36043f412a" /><Relationship Type="http://schemas.openxmlformats.org/officeDocument/2006/relationships/worksheet" Target="/xl/worksheets/sheet5.xml" Id="R745a8d74e8514f2d" /><Relationship Type="http://schemas.openxmlformats.org/officeDocument/2006/relationships/worksheet" Target="/xl/worksheets/sheet6.xml" Id="R188332a589aa4bee" /><Relationship Type="http://schemas.openxmlformats.org/officeDocument/2006/relationships/worksheet" Target="/xl/worksheets/sheet7.xml" Id="Rafff8c6dc4fe4147" /><Relationship Type="http://schemas.openxmlformats.org/officeDocument/2006/relationships/worksheet" Target="/xl/worksheets/sheet8.xml" Id="R4bfa9fa3296747bb" /><Relationship Type="http://schemas.openxmlformats.org/officeDocument/2006/relationships/worksheet" Target="/xl/worksheets/sheet9.xml" Id="R5958585fa03142d4" /></Relationships>
</file>

<file path=xl/tables/table1.xml><?xml version="1.0" encoding="utf-8"?>
<x:table xmlns:x="http://schemas.openxmlformats.org/spreadsheetml/2006/main" id="1" name="BroadScreenTable" displayName="BroadScreenTable" ref="A1:AW64" headerRowCount="1" totalsRowCount="0" totalsRowShown="0">
  <x:autoFilter ref="A1:AW64"/>
  <x:tableColumns count="49">
    <x:tableColumn id="1" name="Location"/>
    <x:tableColumn id="2" name="Country"/>
    <x:tableColumn id="3" name="Local authority"/>
    <x:tableColumn id="4" name="Latitude"/>
    <x:tableColumn id="5" name="Longitude"/>
    <x:tableColumn id="6" name="Violence/sexual indicator"/>
    <x:tableColumn id="7" name="ASB indicator"/>
    <x:tableColumn id="8" name="Crime geography"/>
    <x:tableColumn id="9" name="Safety score"/>
    <x:tableColumn id="10" name="Safety confidence"/>
    <x:tableColumn id="11" name="Buy all-flat achieved median"/>
    <x:tableColumn id="12" name="Buy transactions"/>
    <x:tableColumn id="13" name="Buy confidence"/>
    <x:tableColumn id="14" name="Buy affordability score"/>
    <x:tableColumn id="15" name="Rent one-bed modelled average pcm"/>
    <x:tableColumn id="16" name="Rent confidence"/>
    <x:tableColumn id="17" name="Rent affordability score"/>
    <x:tableColumn id="18" name="One-bed buy count"/>
    <x:tableColumn id="19" name="One-bed rent count"/>
    <x:tableColumn id="20" name="Tower signal"/>
    <x:tableColumn id="21" name="Buy market score"/>
    <x:tableColumn id="22" name="Rent market score"/>
    <x:tableColumn id="23" name="Buy stock score"/>
    <x:tableColumn id="24" name="Rent stock score"/>
    <x:tableColumn id="25" name="Local transport score"/>
    <x:tableColumn id="26" name="Local transport confidence"/>
    <x:tableColumn id="27" name="London minutes"/>
    <x:tableColumn id="28" name="London changes"/>
    <x:tableColumn id="29" name="Birmingham minutes"/>
    <x:tableColumn id="30" name="Birmingham changes"/>
    <x:tableColumn id="31" name="National transport score"/>
    <x:tableColumn id="32" name="National confidence"/>
    <x:tableColumn id="33" name="Quiet score"/>
    <x:tableColumn id="34" name="Quiet confidence"/>
    <x:tableColumn id="35" name="Condition score"/>
    <x:tableColumn id="36" name="Condition confidence"/>
    <x:tableColumn id="37" name="Buy screen /100"/>
    <x:tableColumn id="38" name="Rent screen /100"/>
    <x:tableColumn id="39" name="Buy priority /75"/>
    <x:tableColumn id="40" name="Rent priority /75"/>
    <x:tableColumn id="41" name="Serious priority weaknesses"/>
    <x:tableColumn id="42" name="Buy confidence /3"/>
    <x:tableColumn id="43" name="Rent confidence /3"/>
    <x:tableColumn id="44" name="Buy unknowns"/>
    <x:tableColumn id="45" name="Rent unknowns"/>
    <x:tableColumn id="46" name="Buy rank"/>
    <x:tableColumn id="47" name="Rent rank"/>
    <x:tableColumn id="48" name="Shortlist"/>
    <x:tableColumn id="49" name="Qualified v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sonsSourcesTable" displayName="ReasonsSourcesTable" ref="A1:O64" headerRowCount="1" totalsRowCount="0" totalsRowShown="0">
  <x:autoFilter ref="A1:O64"/>
  <x:tableColumns count="15">
    <x:tableColumn id="1" name="Location"/>
    <x:tableColumn id="2" name="Safety reason"/>
    <x:tableColumn id="3" name="Buy reason"/>
    <x:tableColumn id="4" name="Rent reason"/>
    <x:tableColumn id="5" name="Market reason"/>
    <x:tableColumn id="6" name="Local transport reason"/>
    <x:tableColumn id="7" name="National transport reason"/>
    <x:tableColumn id="8" name="Quiet reason"/>
    <x:tableColumn id="9" name="Condition reason"/>
    <x:tableColumn id="10" name="Crime sources"/>
    <x:tableColumn id="11" name="Buy sources"/>
    <x:tableColumn id="12" name="Rent sources"/>
    <x:tableColumn id="13" name="Market sources"/>
    <x:tableColumn id="14" name="Transport sources"/>
    <x:tableColumn id="15" name="Environment sourc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uyRankingTable" displayName="BuyRankingTable" ref="A1:Q64" headerRowCount="1" totalsRowCount="0" totalsRowShown="0">
  <x:autoFilter ref="A1:Q64"/>
  <x:tableColumns count="17">
    <x:tableColumn id="1" name="Rank"/>
    <x:tableColumn id="2" name="Location"/>
    <x:tableColumn id="3" name="Screen score /100"/>
    <x:tableColumn id="4" name="All-flat achieved median"/>
    <x:tableColumn id="5" name="Affordability"/>
    <x:tableColumn id="6" name="Safety"/>
    <x:tableColumn id="7" name="Local transport"/>
    <x:tableColumn id="8" name="Condition"/>
    <x:tableColumn id="9" name="Quiet"/>
    <x:tableColumn id="10" name="Stock"/>
    <x:tableColumn id="11" name="National transport"/>
    <x:tableColumn id="12" name="Priority subtotal /75"/>
    <x:tableColumn id="13" name="Serious weaknesses"/>
    <x:tableColumn id="14" name="Confidence /3"/>
    <x:tableColumn id="15" name="Unknowns"/>
    <x:tableColumn id="16" name="Shortlist"/>
    <x:tableColumn id="17" name="Qualified v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ntRankingTable" displayName="RentRankingTable" ref="A1:Q64" headerRowCount="1" totalsRowCount="0" totalsRowShown="0">
  <x:autoFilter ref="A1:Q64"/>
  <x:tableColumns count="17">
    <x:tableColumn id="1" name="Rank"/>
    <x:tableColumn id="2" name="Location"/>
    <x:tableColumn id="3" name="Screen score /100"/>
    <x:tableColumn id="4" name="One-bed modelled rent pcm"/>
    <x:tableColumn id="5" name="Affordability"/>
    <x:tableColumn id="6" name="Safety"/>
    <x:tableColumn id="7" name="Local transport"/>
    <x:tableColumn id="8" name="Condition"/>
    <x:tableColumn id="9" name="Quiet"/>
    <x:tableColumn id="10" name="Stock"/>
    <x:tableColumn id="11" name="National transport"/>
    <x:tableColumn id="12" name="Priority subtotal /75"/>
    <x:tableColumn id="13" name="Serious weaknesses"/>
    <x:tableColumn id="14" name="Confidence /3"/>
    <x:tableColumn id="15" name="Unknowns"/>
    <x:tableColumn id="16" name="Shortlist"/>
    <x:tableColumn id="17" name="Qualified vi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posedShortlistTable" displayName="ProposedShortlistTable" ref="A3:N19" headerRowCount="1" totalsRowCount="0" totalsRowShown="0">
  <x:autoFilter ref="A3:N19"/>
  <x:tableColumns count="14">
    <x:tableColumn id="1" name="Order"/>
    <x:tableColumn id="2" name="Location"/>
    <x:tableColumn id="3" name="Qualified via"/>
    <x:tableColumn id="4" name="Buy rank"/>
    <x:tableColumn id="5" name="Buy score"/>
    <x:tableColumn id="6" name="Rent rank"/>
    <x:tableColumn id="7" name="Rent score"/>
    <x:tableColumn id="8" name="Buy priority"/>
    <x:tableColumn id="9" name="Rent priority"/>
    <x:tableColumn id="10" name="Serious weaknesses"/>
    <x:tableColumn id="11" name="Buy confidence"/>
    <x:tableColumn id="12" name="Rent confidence"/>
    <x:tableColumn id="13" name="Status"/>
    <x:tableColumn id="14" name="Stage 3 started?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videnceLogTable" displayName="EvidenceLogTable" ref="A1:K27" headerRowCount="1" totalsRowCount="0" totalsRowShown="0">
  <x:autoFilter ref="A1:K27"/>
  <x:tableColumns count="11">
    <x:tableColumn id="1" name="Evidence ID"/>
    <x:tableColumn id="2" name="Workstream"/>
    <x:tableColumn id="3" name="Source title"/>
    <x:tableColumn id="4" name="Publisher"/>
    <x:tableColumn id="5" name="URL"/>
    <x:tableColumn id="6" name="Data period"/>
    <x:tableColumn id="7" name="Retrieval date"/>
    <x:tableColumn id="8" name="Geography"/>
    <x:tableColumn id="9" name="Observations / coverage"/>
    <x:tableColumn id="10" name="Limitations"/>
    <x:tableColumn id="11" name="Locations cover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f153e8486141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efcd1f33be48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eaf4b7b19e43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71c431d0384b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d0c8bd400644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86f8a58deb44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3" t="str">
        <x:v>UK one-bedroom flat locations — Stages 0–2 broad screen</x:v>
      </x:c>
      <x:c r="B1" s="3" t="str">
        <x:v>UK one-bedroom flat locations — Stages 0–2 broad screen</x:v>
      </x:c>
      <x:c r="C1" s="3" t="str">
        <x:v>UK one-bedroom flat locations — Stages 0–2 broad screen</x:v>
      </x:c>
      <x:c r="D1" s="3" t="str">
        <x:v>UK one-bedroom flat locations — Stages 0–2 broad screen</x:v>
      </x:c>
      <x:c r="E1" s="3" t="str">
        <x:v>UK one-bedroom flat locations — Stages 0–2 broad screen</x:v>
      </x:c>
      <x:c r="F1" s="3" t="str">
        <x:v>UK one-bedroom flat locations — Stages 0–2 broad screen</x:v>
      </x:c>
      <x:c r="G1" s="3" t="str">
        <x:v>UK one-bedroom flat locations — Stages 0–2 broad screen</x:v>
      </x:c>
      <x:c r="H1" s="3" t="str">
        <x:v>UK one-bedroom flat locations — Stages 0–2 broad screen</x:v>
      </x:c>
    </x:row>
    <x:row r="3">
      <x:c r="A3" s="18" t="str">
        <x:v>Status</x:v>
      </x:c>
      <x:c r="B3" s="16" t="str">
        <x:v>Proposed shortlist only — Stage 3 has not begun</x:v>
      </x:c>
      <x:c r="C3" s="16"/>
      <x:c r="D3" s="16"/>
      <x:c r="E3" s="16"/>
      <x:c r="F3" s="16"/>
      <x:c r="G3" s="16"/>
      <x:c r="H3" s="16"/>
    </x:row>
    <x:row r="4">
      <x:c r="A4" s="18" t="str">
        <x:v>Locations screened</x:v>
      </x:c>
      <x:c r="B4" s="16" t="n">
        <x:v>63</x:v>
      </x:c>
      <x:c r="C4" s="16" t="str">
        <x:v>Buy ranking rows</x:v>
      </x:c>
      <x:c r="D4" s="16" t="n">
        <x:v>63</x:v>
      </x:c>
      <x:c r="E4" s="16" t="str">
        <x:v>Rent ranking rows</x:v>
      </x:c>
      <x:c r="F4" s="16" t="n">
        <x:v>63</x:v>
      </x:c>
      <x:c r="G4" s="16" t="str">
        <x:v>Shortlist</x:v>
      </x:c>
      <x:c r="H4" s="16" t="n">
        <x:v>16</x:v>
      </x:c>
    </x:row>
    <x:row r="5">
      <x:c r="A5" s="18" t="str">
        <x:v>Buy proxy</x:v>
      </x:c>
      <x:c r="B5" s="16" t="str">
        <x:v>24-month achieved all-flat median (not one-bedroom)</x:v>
      </x:c>
      <x:c r="C5" s="16"/>
      <x:c r="D5" s="16"/>
      <x:c r="E5" s="16" t="str">
        <x:v>Rent proxy</x:v>
      </x:c>
      <x:c r="F5" s="16" t="str">
        <x:v>ONS one-bedroom modelled average (not a new-let asking median)</x:v>
      </x:c>
      <x:c r="G5" s="16"/>
      <x:c r="H5" s="16"/>
    </x:row>
    <x:row r="6">
      <x:c r="A6" s="18" t="str">
        <x:v>Primary caution</x:v>
      </x:c>
      <x:c r="B6" s="16" t="str">
        <x:v>All tower signals remain Unclear in the broad screen; recurring tower stock must be tested in Stage 3</x:v>
      </x:c>
      <x:c r="C6" s="16"/>
      <x:c r="D6" s="16"/>
      <x:c r="E6" s="16"/>
      <x:c r="F6" s="16"/>
      <x:c r="G6" s="16"/>
      <x:c r="H6" s="16"/>
    </x:row>
    <x:row r="7">
      <x:c r="A7" s="18" t="str">
        <x:v>How to use</x:v>
      </x:c>
      <x:c r="B7" s="16" t="str">
        <x:v>Review Proposed Shortlist, then Buy/ Rent Ranking, Broad Screen, Reasons &amp; Sources, and Evidence Log</x:v>
      </x:c>
      <x:c r="C7" s="16"/>
      <x:c r="D7" s="16"/>
      <x:c r="E7" s="16"/>
      <x:c r="F7" s="16"/>
      <x:c r="G7" s="16"/>
      <x:c r="H7" s="16"/>
    </x:row>
    <x:row r="8">
      <x:c r="A8" s="18" t="str">
        <x:v>Approval gate</x:v>
      </x:c>
      <x:c r="B8" s="16" t="str">
        <x:v>Approve or revise the proposed 15–20 locations before any subarea, listing or tower-block research</x:v>
      </x:c>
      <x:c r="C8" s="16"/>
      <x:c r="D8" s="16"/>
      <x:c r="E8" s="16"/>
      <x:c r="F8" s="16"/>
      <x:c r="G8" s="16"/>
      <x:c r="H8" s="16"/>
    </x:row>
    <x:row r="10" ht="34" customHeight="1">
      <x:c r="A10" s="7" t="str">
        <x:v>Order</x:v>
      </x:c>
      <x:c r="B10" s="7" t="str">
        <x:v>Location</x:v>
      </x:c>
      <x:c r="C10" s="7" t="str">
        <x:v>Via</x:v>
      </x:c>
      <x:c r="D10" s="7" t="str">
        <x:v>Buy rank</x:v>
      </x:c>
      <x:c r="E10" s="7" t="str">
        <x:v>Buy score</x:v>
      </x:c>
      <x:c r="F10" s="7" t="str">
        <x:v>Rent rank</x:v>
      </x:c>
      <x:c r="G10" s="7" t="str">
        <x:v>Rent score</x:v>
      </x:c>
      <x:c r="H10" s="7" t="str">
        <x:v>Status</x:v>
      </x:c>
    </x:row>
    <x:row r="11">
      <x:c r="A11" s="9" t="n">
        <x:v>1</x:v>
      </x:c>
      <x:c r="B11" s="9" t="str">
        <x:v>Shrewsbury</x:v>
      </x:c>
      <x:c r="C11" s="9" t="str">
        <x:v>Both</x:v>
      </x:c>
      <x:c r="D11" s="9" t="n">
        <x:v>7</x:v>
      </x:c>
      <x:c r="E11" s="9" t="n">
        <x:v>69.5</x:v>
      </x:c>
      <x:c r="F11" s="9" t="n">
        <x:v>1</x:v>
      </x:c>
      <x:c r="G11" s="9" t="n">
        <x:v>75.5</x:v>
      </x:c>
      <x:c r="H11" s="9" t="str">
        <x:v>Awaiting approval</x:v>
      </x:c>
    </x:row>
    <x:row r="12">
      <x:c r="A12" s="9" t="n">
        <x:v>2</x:v>
      </x:c>
      <x:c r="B12" s="9" t="str">
        <x:v>Chesterfield</x:v>
      </x:c>
      <x:c r="C12" s="9" t="str">
        <x:v>Rent</x:v>
      </x:c>
      <x:c r="D12" s="9" t="n">
        <x:v>15</x:v>
      </x:c>
      <x:c r="E12" s="9" t="n">
        <x:v>65.5</x:v>
      </x:c>
      <x:c r="F12" s="9" t="n">
        <x:v>2</x:v>
      </x:c>
      <x:c r="G12" s="9" t="n">
        <x:v>74.5</x:v>
      </x:c>
      <x:c r="H12" s="9" t="str">
        <x:v>Awaiting approval</x:v>
      </x:c>
    </x:row>
    <x:row r="13">
      <x:c r="A13" s="9" t="n">
        <x:v>3</x:v>
      </x:c>
      <x:c r="B13" s="9" t="str">
        <x:v>Chester</x:v>
      </x:c>
      <x:c r="C13" s="9" t="str">
        <x:v>Both</x:v>
      </x:c>
      <x:c r="D13" s="9" t="n">
        <x:v>1</x:v>
      </x:c>
      <x:c r="E13" s="9" t="n">
        <x:v>72.5</x:v>
      </x:c>
      <x:c r="F13" s="9" t="n">
        <x:v>3</x:v>
      </x:c>
      <x:c r="G13" s="9" t="n">
        <x:v>72.5</x:v>
      </x:c>
      <x:c r="H13" s="9" t="str">
        <x:v>Awaiting approval</x:v>
      </x:c>
    </x:row>
    <x:row r="14">
      <x:c r="A14" s="9" t="n">
        <x:v>4</x:v>
      </x:c>
      <x:c r="B14" s="9" t="str">
        <x:v>Lancaster</x:v>
      </x:c>
      <x:c r="C14" s="9" t="str">
        <x:v>Both</x:v>
      </x:c>
      <x:c r="D14" s="9" t="n">
        <x:v>2</x:v>
      </x:c>
      <x:c r="E14" s="9" t="n">
        <x:v>72.5</x:v>
      </x:c>
      <x:c r="F14" s="9" t="n">
        <x:v>9</x:v>
      </x:c>
      <x:c r="G14" s="9" t="n">
        <x:v>68</x:v>
      </x:c>
      <x:c r="H14" s="9" t="str">
        <x:v>Awaiting approval</x:v>
      </x:c>
    </x:row>
    <x:row r="15">
      <x:c r="A15" s="9" t="n">
        <x:v>5</x:v>
      </x:c>
      <x:c r="B15" s="9" t="str">
        <x:v>Stafford</x:v>
      </x:c>
      <x:c r="C15" s="9" t="str">
        <x:v>Both</x:v>
      </x:c>
      <x:c r="D15" s="9" t="n">
        <x:v>3</x:v>
      </x:c>
      <x:c r="E15" s="9" t="n">
        <x:v>71.5</x:v>
      </x:c>
      <x:c r="F15" s="9" t="n">
        <x:v>4</x:v>
      </x:c>
      <x:c r="G15" s="9" t="n">
        <x:v>71.5</x:v>
      </x:c>
      <x:c r="H15" s="9" t="str">
        <x:v>Awaiting approval</x:v>
      </x:c>
    </x:row>
    <x:row r="16">
      <x:c r="A16" s="9" t="n">
        <x:v>6</x:v>
      </x:c>
      <x:c r="B16" s="9" t="str">
        <x:v>Burton-on-Trent</x:v>
      </x:c>
      <x:c r="C16" s="9" t="str">
        <x:v>Buy</x:v>
      </x:c>
      <x:c r="D16" s="9" t="n">
        <x:v>4</x:v>
      </x:c>
      <x:c r="E16" s="9" t="n">
        <x:v>71.5</x:v>
      </x:c>
      <x:c r="F16" s="9" t="n">
        <x:v>22</x:v>
      </x:c>
      <x:c r="G16" s="9" t="n">
        <x:v>65.5</x:v>
      </x:c>
      <x:c r="H16" s="9" t="str">
        <x:v>Awaiting approval</x:v>
      </x:c>
    </x:row>
    <x:row r="17">
      <x:c r="A17" s="9" t="n">
        <x:v>7</x:v>
      </x:c>
      <x:c r="B17" s="9" t="str">
        <x:v>Halifax</x:v>
      </x:c>
      <x:c r="C17" s="9" t="str">
        <x:v>Rent</x:v>
      </x:c>
      <x:c r="D17" s="9" t="n">
        <x:v>24</x:v>
      </x:c>
      <x:c r="E17" s="9" t="n">
        <x:v>64.5</x:v>
      </x:c>
      <x:c r="F17" s="9" t="n">
        <x:v>5</x:v>
      </x:c>
      <x:c r="G17" s="9" t="n">
        <x:v>70.5</x:v>
      </x:c>
      <x:c r="H17" s="9" t="str">
        <x:v>Awaiting approval</x:v>
      </x:c>
    </x:row>
    <x:row r="18">
      <x:c r="A18" s="9" t="n">
        <x:v>8</x:v>
      </x:c>
      <x:c r="B18" s="9" t="str">
        <x:v>Huddersfield</x:v>
      </x:c>
      <x:c r="C18" s="9" t="str">
        <x:v>Both</x:v>
      </x:c>
      <x:c r="D18" s="9" t="n">
        <x:v>5</x:v>
      </x:c>
      <x:c r="E18" s="9" t="n">
        <x:v>70.5</x:v>
      </x:c>
      <x:c r="F18" s="9" t="n">
        <x:v>12</x:v>
      </x:c>
      <x:c r="G18" s="9" t="n">
        <x:v>67.5</x:v>
      </x:c>
      <x:c r="H18" s="9" t="str">
        <x:v>Awaiting approval</x:v>
      </x:c>
    </x:row>
    <x:row r="19">
      <x:c r="A19" s="9" t="n">
        <x:v>9</x:v>
      </x:c>
      <x:c r="B19" s="9" t="str">
        <x:v>Hull (Kingston upon Hull)</x:v>
      </x:c>
      <x:c r="C19" s="9" t="str">
        <x:v>Both</x:v>
      </x:c>
      <x:c r="D19" s="9" t="n">
        <x:v>6</x:v>
      </x:c>
      <x:c r="E19" s="9" t="n">
        <x:v>70.5</x:v>
      </x:c>
      <x:c r="F19" s="9" t="n">
        <x:v>6</x:v>
      </x:c>
      <x:c r="G19" s="9" t="n">
        <x:v>70.5</x:v>
      </x:c>
      <x:c r="H19" s="9" t="str">
        <x:v>Awaiting approval</x:v>
      </x:c>
    </x:row>
    <x:row r="20">
      <x:c r="A20" s="9" t="n">
        <x:v>10</x:v>
      </x:c>
      <x:c r="B20" s="9" t="str">
        <x:v>Wakefield</x:v>
      </x:c>
      <x:c r="C20" s="9" t="str">
        <x:v>Rent</x:v>
      </x:c>
      <x:c r="D20" s="9" t="n">
        <x:v>27</x:v>
      </x:c>
      <x:c r="E20" s="9" t="n">
        <x:v>63.5</x:v>
      </x:c>
      <x:c r="F20" s="9" t="n">
        <x:v>7</x:v>
      </x:c>
      <x:c r="G20" s="9" t="n">
        <x:v>69.5</x:v>
      </x:c>
      <x:c r="H20" s="9" t="str">
        <x:v>Awaiting approval</x:v>
      </x:c>
    </x:row>
    <x:row r="21">
      <x:c r="A21" s="9" t="n">
        <x:v>11</x:v>
      </x:c>
      <x:c r="B21" s="9" t="str">
        <x:v>Sheffield</x:v>
      </x:c>
      <x:c r="C21" s="9" t="str">
        <x:v>Rent</x:v>
      </x:c>
      <x:c r="D21" s="9" t="n">
        <x:v>32</x:v>
      </x:c>
      <x:c r="E21" s="9" t="n">
        <x:v>63.5</x:v>
      </x:c>
      <x:c r="F21" s="9" t="n">
        <x:v>8</x:v>
      </x:c>
      <x:c r="G21" s="9" t="n">
        <x:v>69.5</x:v>
      </x:c>
      <x:c r="H21" s="9" t="str">
        <x:v>Awaiting approval</x:v>
      </x:c>
    </x:row>
    <x:row r="22">
      <x:c r="A22" s="9" t="n">
        <x:v>12</x:v>
      </x:c>
      <x:c r="B22" s="9" t="str">
        <x:v>Wigan</x:v>
      </x:c>
      <x:c r="C22" s="9" t="str">
        <x:v>Both</x:v>
      </x:c>
      <x:c r="D22" s="9" t="n">
        <x:v>8</x:v>
      </x:c>
      <x:c r="E22" s="9" t="n">
        <x:v>67.6</x:v>
      </x:c>
      <x:c r="F22" s="9" t="n">
        <x:v>10</x:v>
      </x:c>
      <x:c r="G22" s="9" t="n">
        <x:v>67.6</x:v>
      </x:c>
      <x:c r="H22" s="9" t="str">
        <x:v>Awaiting approval</x:v>
      </x:c>
    </x:row>
    <x:row r="23">
      <x:c r="A23" s="9" t="n">
        <x:v>13</x:v>
      </x:c>
      <x:c r="B23" s="9" t="str">
        <x:v>Manchester</x:v>
      </x:c>
      <x:c r="C23" s="9" t="str">
        <x:v>Both</x:v>
      </x:c>
      <x:c r="D23" s="9" t="n">
        <x:v>9</x:v>
      </x:c>
      <x:c r="E23" s="9" t="n">
        <x:v>67.6</x:v>
      </x:c>
      <x:c r="F23" s="9" t="n">
        <x:v>11</x:v>
      </x:c>
      <x:c r="G23" s="9" t="n">
        <x:v>67.6</x:v>
      </x:c>
      <x:c r="H23" s="9" t="str">
        <x:v>Awaiting approval</x:v>
      </x:c>
    </x:row>
    <x:row r="24">
      <x:c r="A24" s="9" t="n">
        <x:v>14</x:v>
      </x:c>
      <x:c r="B24" s="9" t="str">
        <x:v>Barnsley</x:v>
      </x:c>
      <x:c r="C24" s="9" t="str">
        <x:v>Buy</x:v>
      </x:c>
      <x:c r="D24" s="9" t="n">
        <x:v>10</x:v>
      </x:c>
      <x:c r="E24" s="9" t="n">
        <x:v>66.5</x:v>
      </x:c>
      <x:c r="F24" s="9" t="n">
        <x:v>32</x:v>
      </x:c>
      <x:c r="G24" s="9" t="n">
        <x:v>63.5</x:v>
      </x:c>
      <x:c r="H24" s="9" t="str">
        <x:v>Awaiting approval</x:v>
      </x:c>
    </x:row>
    <x:row r="25">
      <x:c r="A25" s="9" t="n">
        <x:v>15</x:v>
      </x:c>
      <x:c r="B25" s="9" t="str">
        <x:v>Telford</x:v>
      </x:c>
      <x:c r="C25" s="9" t="str">
        <x:v>Buy</x:v>
      </x:c>
      <x:c r="D25" s="9" t="n">
        <x:v>11</x:v>
      </x:c>
      <x:c r="E25" s="9" t="n">
        <x:v>66.5</x:v>
      </x:c>
      <x:c r="F25" s="9" t="n">
        <x:v>33</x:v>
      </x:c>
      <x:c r="G25" s="9" t="n">
        <x:v>63.5</x:v>
      </x:c>
      <x:c r="H25" s="9" t="str">
        <x:v>Awaiting approval</x:v>
      </x:c>
    </x:row>
    <x:row r="26">
      <x:c r="A26" s="9" t="n">
        <x:v>16</x:v>
      </x:c>
      <x:c r="B26" s="9" t="str">
        <x:v>Worcester</x:v>
      </x:c>
      <x:c r="C26" s="9" t="str">
        <x:v>Buy</x:v>
      </x:c>
      <x:c r="D26" s="9" t="n">
        <x:v>12</x:v>
      </x:c>
      <x:c r="E26" s="9" t="n">
        <x:v>66.5</x:v>
      </x:c>
      <x:c r="F26" s="9" t="n">
        <x:v>14</x:v>
      </x:c>
      <x:c r="G26" s="9" t="n">
        <x:v>66.5</x:v>
      </x:c>
      <x:c r="H26" s="9" t="str">
        <x:v>Awaiting approval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42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6" hidden="0" customWidth="1"/>
    <x:col min="14" max="14" width="14" hidden="0" customWidth="1"/>
    <x:col min="15" max="15" width="14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</x:cols>
  <x:sheetData>
    <x:row r="1" ht="34" customHeight="1">
      <x:c r="A1" s="7" t="str">
        <x:v>Location</x:v>
      </x:c>
      <x:c r="B1" s="7" t="str">
        <x:v>Country</x:v>
      </x:c>
      <x:c r="C1" s="7" t="str">
        <x:v>Local authority</x:v>
      </x:c>
      <x:c r="D1" s="7" t="str">
        <x:v>Latitude</x:v>
      </x:c>
      <x:c r="E1" s="7" t="str">
        <x:v>Longitude</x:v>
      </x:c>
      <x:c r="F1" s="7" t="str">
        <x:v>Violence/sexual indicator</x:v>
      </x:c>
      <x:c r="G1" s="7" t="str">
        <x:v>ASB indicator</x:v>
      </x:c>
      <x:c r="H1" s="7" t="str">
        <x:v>Crime geography</x:v>
      </x:c>
      <x:c r="I1" s="7" t="str">
        <x:v>Safety score</x:v>
      </x:c>
      <x:c r="J1" s="7" t="str">
        <x:v>Safety confidence</x:v>
      </x:c>
      <x:c r="K1" s="7" t="str">
        <x:v>Buy all-flat achieved median</x:v>
      </x:c>
      <x:c r="L1" s="7" t="str">
        <x:v>Buy transactions</x:v>
      </x:c>
      <x:c r="M1" s="7" t="str">
        <x:v>Buy confidence</x:v>
      </x:c>
      <x:c r="N1" s="7" t="str">
        <x:v>Buy affordability score</x:v>
      </x:c>
      <x:c r="O1" s="7" t="str">
        <x:v>Rent one-bed modelled average pcm</x:v>
      </x:c>
      <x:c r="P1" s="7" t="str">
        <x:v>Rent confidence</x:v>
      </x:c>
      <x:c r="Q1" s="7" t="str">
        <x:v>Rent affordability score</x:v>
      </x:c>
      <x:c r="R1" s="7" t="str">
        <x:v>One-bed buy count</x:v>
      </x:c>
      <x:c r="S1" s="7" t="str">
        <x:v>One-bed rent count</x:v>
      </x:c>
      <x:c r="T1" s="7" t="str">
        <x:v>Tower signal</x:v>
      </x:c>
      <x:c r="U1" s="7" t="str">
        <x:v>Buy market score</x:v>
      </x:c>
      <x:c r="V1" s="7" t="str">
        <x:v>Rent market score</x:v>
      </x:c>
      <x:c r="W1" s="7" t="str">
        <x:v>Buy stock score</x:v>
      </x:c>
      <x:c r="X1" s="7" t="str">
        <x:v>Rent stock score</x:v>
      </x:c>
      <x:c r="Y1" s="7" t="str">
        <x:v>Local transport score</x:v>
      </x:c>
      <x:c r="Z1" s="7" t="str">
        <x:v>Local transport confidence</x:v>
      </x:c>
      <x:c r="AA1" s="7" t="str">
        <x:v>London minutes</x:v>
      </x:c>
      <x:c r="AB1" s="7" t="str">
        <x:v>London changes</x:v>
      </x:c>
      <x:c r="AC1" s="7" t="str">
        <x:v>Birmingham minutes</x:v>
      </x:c>
      <x:c r="AD1" s="7" t="str">
        <x:v>Birmingham changes</x:v>
      </x:c>
      <x:c r="AE1" s="7" t="str">
        <x:v>National transport score</x:v>
      </x:c>
      <x:c r="AF1" s="7" t="str">
        <x:v>National confidence</x:v>
      </x:c>
      <x:c r="AG1" s="7" t="str">
        <x:v>Quiet score</x:v>
      </x:c>
      <x:c r="AH1" s="7" t="str">
        <x:v>Quiet confidence</x:v>
      </x:c>
      <x:c r="AI1" s="7" t="str">
        <x:v>Condition score</x:v>
      </x:c>
      <x:c r="AJ1" s="7" t="str">
        <x:v>Condition confidence</x:v>
      </x:c>
      <x:c r="AK1" s="7" t="str">
        <x:v>Buy screen /100</x:v>
      </x:c>
      <x:c r="AL1" s="7" t="str">
        <x:v>Rent screen /100</x:v>
      </x:c>
      <x:c r="AM1" s="7" t="str">
        <x:v>Buy priority /75</x:v>
      </x:c>
      <x:c r="AN1" s="7" t="str">
        <x:v>Rent priority /75</x:v>
      </x:c>
      <x:c r="AO1" s="7" t="str">
        <x:v>Serious priority weaknesses</x:v>
      </x:c>
      <x:c r="AP1" s="7" t="str">
        <x:v>Buy confidence /3</x:v>
      </x:c>
      <x:c r="AQ1" s="7" t="str">
        <x:v>Rent confidence /3</x:v>
      </x:c>
      <x:c r="AR1" s="7" t="str">
        <x:v>Buy unknowns</x:v>
      </x:c>
      <x:c r="AS1" s="7" t="str">
        <x:v>Rent unknowns</x:v>
      </x:c>
      <x:c r="AT1" s="7" t="str">
        <x:v>Buy rank</x:v>
      </x:c>
      <x:c r="AU1" s="7" t="str">
        <x:v>Rent rank</x:v>
      </x:c>
      <x:c r="AV1" s="7" t="str">
        <x:v>Shortlist</x:v>
      </x:c>
      <x:c r="AW1" s="7" t="str">
        <x:v>Qualified via</x:v>
      </x:c>
    </x:row>
    <x:row r="2">
      <x:c r="A2" s="9" t="str">
        <x:v>Barnsley</x:v>
      </x:c>
      <x:c r="B2" s="9" t="str">
        <x:v>England</x:v>
      </x:c>
      <x:c r="C2" s="9" t="str">
        <x:v>Barnsley</x:v>
      </x:c>
      <x:c r="D2" s="12" t="n">
        <x:v>53.553523</x:v>
      </x:c>
      <x:c r="E2" s="12" t="n">
        <x:v>-1.482593</x:v>
      </x:c>
      <x:c r="F2" s="9" t="n">
        <x:v>2047</x:v>
      </x:c>
      <x:c r="G2" s="9" t="n">
        <x:v>851</x:v>
      </x:c>
      <x:c r="H2" s="9" t="str">
        <x:v>data.police.uk street-crime records within 1 mile of Postcodes.io place centroid</x:v>
      </x:c>
      <x:c r="I2" s="9" t="n">
        <x:v>4</x:v>
      </x:c>
      <x:c r="J2" s="9" t="str">
        <x:v>Medium</x:v>
      </x:c>
      <x:c r="K2" s="10" t="n">
        <x:v>100000</x:v>
      </x:c>
      <x:c r="L2" s="9" t="n">
        <x:v>214</x:v>
      </x:c>
      <x:c r="M2" s="9" t="str">
        <x:v>High</x:v>
      </x:c>
      <x:c r="N2" s="9" t="n">
        <x:f>IF(K2&lt;='Methodology'!$B$15,5,IF(K2&gt;='Methodology'!$B$16,1,3))</x:f>
        <x:v>5</x:v>
      </x:c>
      <x:c r="O2" s="10" t="n">
        <x:v>505</x:v>
      </x:c>
      <x:c r="P2" s="9" t="str">
        <x:v>Medium</x:v>
      </x:c>
      <x:c r="Q2" s="9" t="n">
        <x:f>IF(O2&lt;='Methodology'!$B$17,5,IF(O2&gt;='Methodology'!$B$18,1,3))</x:f>
        <x:v>5</x:v>
      </x:c>
      <x:c r="R2" s="9" t="n">
        <x:v>25</x:v>
      </x:c>
      <x:c r="S2" s="9" t="n">
        <x:v>21</x:v>
      </x:c>
      <x:c r="T2" s="9" t="str">
        <x:v>Unclear</x:v>
      </x:c>
      <x:c r="U2" s="9" t="n">
        <x:v>3</x:v>
      </x:c>
      <x:c r="V2" s="9" t="n">
        <x:v>2</x:v>
      </x:c>
      <x:c r="W2" s="13" t="n">
        <x:f>MAX(1,MIN(5,U2+IF(T2="Known",0.5,IF(T2="Likely",0,-0.5))))</x:f>
        <x:v>2.5</x:v>
      </x:c>
      <x:c r="X2" s="13" t="n">
        <x:f>MAX(1,MIN(5,V2+IF(T2="Known",0.5,IF(T2="Likely",0,-0.5))))</x:f>
        <x:v>1.5</x:v>
      </x:c>
      <x:c r="Y2" s="9" t="n">
        <x:v>3</x:v>
      </x:c>
      <x:c r="Z2" s="9" t="str">
        <x:v>High</x:v>
      </x:c>
      <x:c r="AA2" s="9" t="n">
        <x:v>145</x:v>
      </x:c>
      <x:c r="AB2" s="9" t="n">
        <x:v>1</x:v>
      </x:c>
      <x:c r="AC2" s="9" t="n">
        <x:v>105</x:v>
      </x:c>
      <x:c r="AD2" s="9" t="n">
        <x:v>1</x:v>
      </x:c>
      <x:c r="AE2" s="9" t="n">
        <x:v>4</x:v>
      </x:c>
      <x:c r="AF2" s="9" t="str">
        <x:v>Medium</x:v>
      </x:c>
      <x:c r="AG2" s="9" t="n">
        <x:v>3</x:v>
      </x:c>
      <x:c r="AH2" s="9" t="str">
        <x:v>Medium</x:v>
      </x:c>
      <x:c r="AI2" s="9" t="n">
        <x:v>2</x:v>
      </x:c>
      <x:c r="AJ2" s="9" t="str">
        <x:v>Low</x:v>
      </x:c>
      <x:c r="AK2" s="13" t="n">
        <x:f>(N2*15+I2*15+Y2*15+AI2*15+AG2*15+W2*15+AE2*10)*20/(15*COUNT(N2,I2,Y2,AI2,AG2,W2)+10*COUNT(AE2))</x:f>
        <x:v>66.5</x:v>
      </x:c>
      <x:c r="AL2" s="13" t="n">
        <x:f>(Q2*15+I2*15+Y2*15+AI2*15+AG2*15+X2*15+AE2*10)*20/(15*COUNT(Q2,I2,Y2,AI2,AG2,X2)+10*COUNT(AE2))</x:f>
        <x:v>63.5</x:v>
      </x:c>
      <x:c r="AM2" s="13" t="n">
        <x:f>(N2+I2+Y2+AI2+AG2)*15/COUNT(N2,I2,Y2,AI2,AG2)</x:f>
        <x:v>51</x:v>
      </x:c>
      <x:c r="AN2" s="13" t="n">
        <x:f>(Q2+I2+Y2+AI2+AG2)*15/COUNT(Q2,I2,Y2,AI2,AG2)</x:f>
        <x:v>51</x:v>
      </x:c>
      <x:c r="AO2" s="9" t="n">
        <x:f>IF(I2=1,1,0)+IF(Y2=1,1,0)+IF(AI2=1,1,0)+IF(AG2=1,1,0)</x:f>
        <x:v>0</x:v>
      </x:c>
      <x:c r="AP2" s="14" t="n">
        <x:f>(IF(M2="High",3,IF(M2="Medium",2,1))+IF(J2="High",3,IF(J2="Medium",2,1))+IF(Z2="High",3,IF(Z2="Medium",2,1))+IF(AF2="High",3,IF(AF2="Medium",2,1))+IF(AH2="High",3,IF(AH2="Medium",2,1))+IF(AJ2="High",3,IF(AJ2="Medium",2,1))+2)/7</x:f>
        <x:v>2.142857142857143</x:v>
      </x:c>
      <x:c r="AQ2" s="14" t="n">
        <x:f>(IF(P2="High",3,IF(P2="Medium",2,1))+IF(J2="High",3,IF(J2="Medium",2,1))+IF(Z2="High",3,IF(Z2="Medium",2,1))+IF(AF2="High",3,IF(AF2="Medium",2,1))+IF(AH2="High",3,IF(AH2="Medium",2,1))+IF(AJ2="High",3,IF(AJ2="Medium",2,1))+2)/7</x:f>
        <x:v>2</x:v>
      </x:c>
      <x:c r="AR2" s="9" t="n">
        <x:f>IF(N2="",1,0)+IF(I2="",1,0)+IF(Y2="",1,0)+IF(AI2="",1,0)+IF(AG2="",1,0)+IF(W2="",1,0)+IF(AE2="",1,0)</x:f>
        <x:v>0</x:v>
      </x:c>
      <x:c r="AS2" s="9" t="n">
        <x:f>IF(Q2="",1,0)+IF(I2="",1,0)+IF(Y2="",1,0)+IF(AI2="",1,0)+IF(AG2="",1,0)+IF(X2="",1,0)+IF(AE2="",1,0)</x:f>
        <x:v>0</x:v>
      </x:c>
      <x:c r="AT2" s="9" t="n">
        <x:v>10</x:v>
      </x:c>
      <x:c r="AU2" s="9" t="n">
        <x:v>32</x:v>
      </x:c>
      <x:c r="AV2" s="9" t="str">
        <x:v>Proposed</x:v>
      </x:c>
      <x:c r="AW2" s="9" t="str">
        <x:v>Buy</x:v>
      </x:c>
    </x:row>
    <x:row r="3">
      <x:c r="A3" s="9" t="str">
        <x:v>Birmingham</x:v>
      </x:c>
      <x:c r="B3" s="9" t="str">
        <x:v>England</x:v>
      </x:c>
      <x:c r="C3" s="9" t="str">
        <x:v>Birmingham</x:v>
      </x:c>
      <x:c r="D3" s="12" t="n">
        <x:v>52.479284</x:v>
      </x:c>
      <x:c r="E3" s="12" t="n">
        <x:v>-1.902941</x:v>
      </x:c>
      <x:c r="F3" s="9" t="n">
        <x:v>7628</x:v>
      </x:c>
      <x:c r="G3" s="9" t="n">
        <x:v>985</x:v>
      </x:c>
      <x:c r="H3" s="9" t="str">
        <x:v>data.police.uk street-crime records within 1 mile of Postcodes.io place centroid</x:v>
      </x:c>
      <x:c r="I3" s="9" t="n">
        <x:v>2</x:v>
      </x:c>
      <x:c r="J3" s="9" t="str">
        <x:v>Medium</x:v>
      </x:c>
      <x:c r="K3" s="10" t="n">
        <x:v>150000</x:v>
      </x:c>
      <x:c r="L3" s="9" t="n">
        <x:v>3183</x:v>
      </x:c>
      <x:c r="M3" s="9" t="str">
        <x:v>High</x:v>
      </x:c>
      <x:c r="N3" s="9" t="n">
        <x:f>IF(K3&lt;='Methodology'!$B$15,5,IF(K3&gt;='Methodology'!$B$16,1,3))</x:f>
        <x:v>1</x:v>
      </x:c>
      <x:c r="O3" s="10" t="n">
        <x:v>825</x:v>
      </x:c>
      <x:c r="P3" s="9" t="str">
        <x:v>Medium</x:v>
      </x:c>
      <x:c r="Q3" s="9" t="n">
        <x:f>IF(O3&lt;='Methodology'!$B$17,5,IF(O3&gt;='Methodology'!$B$18,1,3))</x:f>
        <x:v>1</x:v>
      </x:c>
      <x:c r="R3" s="9" t="n">
        <x:v>854</x:v>
      </x:c>
      <x:c r="S3" s="9" t="n">
        <x:v>1257</x:v>
      </x:c>
      <x:c r="T3" s="9" t="str">
        <x:v>Unclear</x:v>
      </x:c>
      <x:c r="U3" s="9" t="n">
        <x:v>5</x:v>
      </x:c>
      <x:c r="V3" s="9" t="n">
        <x:v>5</x:v>
      </x:c>
      <x:c r="W3" s="13" t="n">
        <x:f>MAX(1,MIN(5,U3+IF(T3="Known",0.5,IF(T3="Likely",0,-0.5))))</x:f>
        <x:v>4.5</x:v>
      </x:c>
      <x:c r="X3" s="13" t="n">
        <x:f>MAX(1,MIN(5,V3+IF(T3="Known",0.5,IF(T3="Likely",0,-0.5))))</x:f>
        <x:v>4.5</x:v>
      </x:c>
      <x:c r="Y3" s="9" t="n">
        <x:v>5</x:v>
      </x:c>
      <x:c r="Z3" s="9" t="str">
        <x:v>High</x:v>
      </x:c>
      <x:c r="AA3" s="9" t="n">
        <x:v>82</x:v>
      </x:c>
      <x:c r="AB3" s="9" t="n">
        <x:v>0</x:v>
      </x:c>
      <x:c r="AC3" s="9" t="n">
        <x:v>0</x:v>
      </x:c>
      <x:c r="AD3" s="9" t="n">
        <x:v>0</x:v>
      </x:c>
      <x:c r="AE3" s="9" t="n">
        <x:v>5</x:v>
      </x:c>
      <x:c r="AF3" s="9" t="str">
        <x:v>Medium</x:v>
      </x:c>
      <x:c r="AG3" s="9" t="n">
        <x:v>2</x:v>
      </x:c>
      <x:c r="AH3" s="9" t="str">
        <x:v>Medium</x:v>
      </x:c>
      <x:c r="AI3" s="9" t="n">
        <x:v>3</x:v>
      </x:c>
      <x:c r="AJ3" s="9" t="str">
        <x:v>Low</x:v>
      </x:c>
      <x:c r="AK3" s="13" t="n">
        <x:f>(N3*15+I3*15+Y3*15+AI3*15+AG3*15+W3*15+AE3*10)*20/(15*COUNT(N3,I3,Y3,AI3,AG3,W3)+10*COUNT(AE3))</x:f>
        <x:v>62.5</x:v>
      </x:c>
      <x:c r="AL3" s="13" t="n">
        <x:f>(Q3*15+I3*15+Y3*15+AI3*15+AG3*15+X3*15+AE3*10)*20/(15*COUNT(Q3,I3,Y3,AI3,AG3,X3)+10*COUNT(AE3))</x:f>
        <x:v>62.5</x:v>
      </x:c>
      <x:c r="AM3" s="13" t="n">
        <x:f>(N3+I3+Y3+AI3+AG3)*15/COUNT(N3,I3,Y3,AI3,AG3)</x:f>
        <x:v>39</x:v>
      </x:c>
      <x:c r="AN3" s="13" t="n">
        <x:f>(Q3+I3+Y3+AI3+AG3)*15/COUNT(Q3,I3,Y3,AI3,AG3)</x:f>
        <x:v>39</x:v>
      </x:c>
      <x:c r="AO3" s="9" t="n">
        <x:f>IF(I3=1,1,0)+IF(Y3=1,1,0)+IF(AI3=1,1,0)+IF(AG3=1,1,0)</x:f>
        <x:v>0</x:v>
      </x:c>
      <x:c r="AP3" s="14" t="n">
        <x:f>(IF(M3="High",3,IF(M3="Medium",2,1))+IF(J3="High",3,IF(J3="Medium",2,1))+IF(Z3="High",3,IF(Z3="Medium",2,1))+IF(AF3="High",3,IF(AF3="Medium",2,1))+IF(AH3="High",3,IF(AH3="Medium",2,1))+IF(AJ3="High",3,IF(AJ3="Medium",2,1))+2)/7</x:f>
        <x:v>2.142857142857143</x:v>
      </x:c>
      <x:c r="AQ3" s="14" t="n">
        <x:f>(IF(P3="High",3,IF(P3="Medium",2,1))+IF(J3="High",3,IF(J3="Medium",2,1))+IF(Z3="High",3,IF(Z3="Medium",2,1))+IF(AF3="High",3,IF(AF3="Medium",2,1))+IF(AH3="High",3,IF(AH3="Medium",2,1))+IF(AJ3="High",3,IF(AJ3="Medium",2,1))+2)/7</x:f>
        <x:v>2</x:v>
      </x:c>
      <x:c r="AR3" s="9" t="n">
        <x:f>IF(N3="",1,0)+IF(I3="",1,0)+IF(Y3="",1,0)+IF(AI3="",1,0)+IF(AG3="",1,0)+IF(W3="",1,0)+IF(AE3="",1,0)</x:f>
        <x:v>0</x:v>
      </x:c>
      <x:c r="AS3" s="9" t="n">
        <x:f>IF(Q3="",1,0)+IF(I3="",1,0)+IF(Y3="",1,0)+IF(AI3="",1,0)+IF(AG3="",1,0)+IF(X3="",1,0)+IF(AE3="",1,0)</x:f>
        <x:v>0</x:v>
      </x:c>
      <x:c r="AT3" s="9" t="n">
        <x:v>38</x:v>
      </x:c>
      <x:c r="AU3" s="9" t="n">
        <x:v>39</x:v>
      </x:c>
      <x:c r="AV3" s="9" t="str">
        <x:v>Not proposed</x:v>
      </x:c>
      <x:c r="AW3" s="9" t="str"/>
    </x:row>
    <x:row r="4">
      <x:c r="A4" s="9" t="str">
        <x:v>Blackburn</x:v>
      </x:c>
      <x:c r="B4" s="9" t="str">
        <x:v>England</x:v>
      </x:c>
      <x:c r="C4" s="9" t="str">
        <x:v>Blackburn with Darwen</x:v>
      </x:c>
      <x:c r="D4" s="12" t="n">
        <x:v>53.750073</x:v>
      </x:c>
      <x:c r="E4" s="12" t="n">
        <x:v>-2.481528</x:v>
      </x:c>
      <x:c r="F4" s="9" t="n">
        <x:v>2399</x:v>
      </x:c>
      <x:c r="G4" s="9" t="n">
        <x:v>1597</x:v>
      </x:c>
      <x:c r="H4" s="9" t="str">
        <x:v>data.police.uk street-crime records within 1 mile of Postcodes.io place centroid</x:v>
      </x:c>
      <x:c r="I4" s="9" t="n">
        <x:v>3</x:v>
      </x:c>
      <x:c r="J4" s="9" t="str">
        <x:v>Medium</x:v>
      </x:c>
      <x:c r="K4" s="10" t="n">
        <x:v>110000</x:v>
      </x:c>
      <x:c r="L4" s="9" t="n">
        <x:v>141</x:v>
      </x:c>
      <x:c r="M4" s="9" t="str">
        <x:v>High</x:v>
      </x:c>
      <x:c r="N4" s="9" t="n">
        <x:f>IF(K4&lt;='Methodology'!$B$15,5,IF(K4&gt;='Methodology'!$B$16,1,3))</x:f>
        <x:v>5</x:v>
      </x:c>
      <x:c r="O4" s="10" t="n">
        <x:v>534</x:v>
      </x:c>
      <x:c r="P4" s="9" t="str">
        <x:v>Medium</x:v>
      </x:c>
      <x:c r="Q4" s="9" t="n">
        <x:f>IF(O4&lt;='Methodology'!$B$17,5,IF(O4&gt;='Methodology'!$B$18,1,3))</x:f>
        <x:v>5</x:v>
      </x:c>
      <x:c r="R4" s="9" t="n">
        <x:v>8</x:v>
      </x:c>
      <x:c r="S4" s="9" t="n">
        <x:v>2</x:v>
      </x:c>
      <x:c r="T4" s="9" t="str">
        <x:v>Unclear</x:v>
      </x:c>
      <x:c r="U4" s="9" t="n">
        <x:v>1</x:v>
      </x:c>
      <x:c r="V4" s="9" t="n">
        <x:v>1</x:v>
      </x:c>
      <x:c r="W4" s="13" t="n">
        <x:f>MAX(1,MIN(5,U4+IF(T4="Known",0.5,IF(T4="Likely",0,-0.5))))</x:f>
        <x:v>1</x:v>
      </x:c>
      <x:c r="X4" s="13" t="n">
        <x:f>MAX(1,MIN(5,V4+IF(T4="Known",0.5,IF(T4="Likely",0,-0.5))))</x:f>
        <x:v>1</x:v>
      </x:c>
      <x:c r="Y4" s="9" t="n">
        <x:v>3</x:v>
      </x:c>
      <x:c r="Z4" s="9" t="str">
        <x:v>Medium</x:v>
      </x:c>
      <x:c r="AA4" s="9" t="n">
        <x:v>170</x:v>
      </x:c>
      <x:c r="AB4" s="9" t="n">
        <x:v>1</x:v>
      </x:c>
      <x:c r="AC4" s="9" t="n">
        <x:v>135</x:v>
      </x:c>
      <x:c r="AD4" s="9" t="n">
        <x:v>1</x:v>
      </x:c>
      <x:c r="AE4" s="9" t="n">
        <x:v>3</x:v>
      </x:c>
      <x:c r="AF4" s="9" t="str">
        <x:v>Medium</x:v>
      </x:c>
      <x:c r="AG4" s="9" t="n">
        <x:v>3</x:v>
      </x:c>
      <x:c r="AH4" s="9" t="str">
        <x:v>Medium</x:v>
      </x:c>
      <x:c r="AI4" s="9" t="n">
        <x:v>2</x:v>
      </x:c>
      <x:c r="AJ4" s="9" t="str">
        <x:v>Low</x:v>
      </x:c>
      <x:c r="AK4" s="13" t="n">
        <x:f>(N4*15+I4*15+Y4*15+AI4*15+AG4*15+W4*15+AE4*10)*20/(15*COUNT(N4,I4,Y4,AI4,AG4,W4)+10*COUNT(AE4))</x:f>
        <x:v>57</x:v>
      </x:c>
      <x:c r="AL4" s="13" t="n">
        <x:f>(Q4*15+I4*15+Y4*15+AI4*15+AG4*15+X4*15+AE4*10)*20/(15*COUNT(Q4,I4,Y4,AI4,AG4,X4)+10*COUNT(AE4))</x:f>
        <x:v>57</x:v>
      </x:c>
      <x:c r="AM4" s="13" t="n">
        <x:f>(N4+I4+Y4+AI4+AG4)*15/COUNT(N4,I4,Y4,AI4,AG4)</x:f>
        <x:v>48</x:v>
      </x:c>
      <x:c r="AN4" s="13" t="n">
        <x:f>(Q4+I4+Y4+AI4+AG4)*15/COUNT(Q4,I4,Y4,AI4,AG4)</x:f>
        <x:v>48</x:v>
      </x:c>
      <x:c r="AO4" s="9" t="n">
        <x:f>IF(I4=1,1,0)+IF(Y4=1,1,0)+IF(AI4=1,1,0)+IF(AG4=1,1,0)</x:f>
        <x:v>0</x:v>
      </x:c>
      <x:c r="AP4" s="14" t="n">
        <x:f>(IF(M4="High",3,IF(M4="Medium",2,1))+IF(J4="High",3,IF(J4="Medium",2,1))+IF(Z4="High",3,IF(Z4="Medium",2,1))+IF(AF4="High",3,IF(AF4="Medium",2,1))+IF(AH4="High",3,IF(AH4="Medium",2,1))+IF(AJ4="High",3,IF(AJ4="Medium",2,1))+2)/7</x:f>
        <x:v>2</x:v>
      </x:c>
      <x:c r="AQ4" s="14" t="n">
        <x:f>(IF(P4="High",3,IF(P4="Medium",2,1))+IF(J4="High",3,IF(J4="Medium",2,1))+IF(Z4="High",3,IF(Z4="Medium",2,1))+IF(AF4="High",3,IF(AF4="Medium",2,1))+IF(AH4="High",3,IF(AH4="Medium",2,1))+IF(AJ4="High",3,IF(AJ4="Medium",2,1))+2)/7</x:f>
        <x:v>1.8571428571428572</x:v>
      </x:c>
      <x:c r="AR4" s="9" t="n">
        <x:f>IF(N4="",1,0)+IF(I4="",1,0)+IF(Y4="",1,0)+IF(AI4="",1,0)+IF(AG4="",1,0)+IF(W4="",1,0)+IF(AE4="",1,0)</x:f>
        <x:v>0</x:v>
      </x:c>
      <x:c r="AS4" s="9" t="n">
        <x:f>IF(Q4="",1,0)+IF(I4="",1,0)+IF(Y4="",1,0)+IF(AI4="",1,0)+IF(AG4="",1,0)+IF(X4="",1,0)+IF(AE4="",1,0)</x:f>
        <x:v>0</x:v>
      </x:c>
      <x:c r="AT4" s="9" t="n">
        <x:v>55</x:v>
      </x:c>
      <x:c r="AU4" s="9" t="n">
        <x:v>54</x:v>
      </x:c>
      <x:c r="AV4" s="9" t="str">
        <x:v>Not proposed</x:v>
      </x:c>
      <x:c r="AW4" s="9" t="str"/>
    </x:row>
    <x:row r="5">
      <x:c r="A5" s="9" t="str">
        <x:v>Blackpool</x:v>
      </x:c>
      <x:c r="B5" s="9" t="str">
        <x:v>England</x:v>
      </x:c>
      <x:c r="C5" s="9" t="str">
        <x:v>Blackpool</x:v>
      </x:c>
      <x:c r="D5" s="12" t="n">
        <x:v>53.82086</x:v>
      </x:c>
      <x:c r="E5" s="12" t="n">
        <x:v>-3.051542</x:v>
      </x:c>
      <x:c r="F5" s="9" t="n">
        <x:v>5053</x:v>
      </x:c>
      <x:c r="G5" s="9" t="n">
        <x:v>2641</x:v>
      </x:c>
      <x:c r="H5" s="9" t="str">
        <x:v>data.police.uk street-crime records within 1 mile of Postcodes.io place centroid</x:v>
      </x:c>
      <x:c r="I5" s="9" t="n">
        <x:v>1</x:v>
      </x:c>
      <x:c r="J5" s="9" t="str">
        <x:v>Medium</x:v>
      </x:c>
      <x:c r="K5" s="10" t="n">
        <x:v>80000</x:v>
      </x:c>
      <x:c r="L5" s="9" t="n">
        <x:v>297</x:v>
      </x:c>
      <x:c r="M5" s="9" t="str">
        <x:v>High</x:v>
      </x:c>
      <x:c r="N5" s="9" t="n">
        <x:f>IF(K5&lt;='Methodology'!$B$15,5,IF(K5&gt;='Methodology'!$B$16,1,3))</x:f>
        <x:v>5</x:v>
      </x:c>
      <x:c r="O5" s="10" t="n">
        <x:v>498</x:v>
      </x:c>
      <x:c r="P5" s="9" t="str">
        <x:v>Medium</x:v>
      </x:c>
      <x:c r="Q5" s="9" t="n">
        <x:f>IF(O5&lt;='Methodology'!$B$17,5,IF(O5&gt;='Methodology'!$B$18,1,3))</x:f>
        <x:v>5</x:v>
      </x:c>
      <x:c r="R5" s="9" t="n">
        <x:v>77</x:v>
      </x:c>
      <x:c r="S5" s="9" t="n">
        <x:v>75</x:v>
      </x:c>
      <x:c r="T5" s="9" t="str">
        <x:v>Unclear</x:v>
      </x:c>
      <x:c r="U5" s="9" t="n">
        <x:v>4</x:v>
      </x:c>
      <x:c r="V5" s="9" t="n">
        <x:v>4</x:v>
      </x:c>
      <x:c r="W5" s="13" t="n">
        <x:f>MAX(1,MIN(5,U5+IF(T5="Known",0.5,IF(T5="Likely",0,-0.5))))</x:f>
        <x:v>3.5</x:v>
      </x:c>
      <x:c r="X5" s="13" t="n">
        <x:f>MAX(1,MIN(5,V5+IF(T5="Known",0.5,IF(T5="Likely",0,-0.5))))</x:f>
        <x:v>3.5</x:v>
      </x:c>
      <x:c r="Y5" s="9" t="n">
        <x:v>4</x:v>
      </x:c>
      <x:c r="Z5" s="9" t="str">
        <x:v>High</x:v>
      </x:c>
      <x:c r="AA5" s="9" t="n">
        <x:v>185</x:v>
      </x:c>
      <x:c r="AB5" s="9" t="n">
        <x:v>1</x:v>
      </x:c>
      <x:c r="AC5" s="9" t="n">
        <x:v>130</x:v>
      </x:c>
      <x:c r="AD5" s="9" t="n">
        <x:v>1</x:v>
      </x:c>
      <x:c r="AE5" s="9" t="n">
        <x:v>3</x:v>
      </x:c>
      <x:c r="AF5" s="9" t="str">
        <x:v>Medium</x:v>
      </x:c>
      <x:c r="AG5" s="9" t="n">
        <x:v>2</x:v>
      </x:c>
      <x:c r="AH5" s="9" t="str">
        <x:v>Medium</x:v>
      </x:c>
      <x:c r="AI5" s="9" t="n">
        <x:v>2</x:v>
      </x:c>
      <x:c r="AJ5" s="9" t="str">
        <x:v>Low</x:v>
      </x:c>
      <x:c r="AK5" s="13" t="n">
        <x:f>(N5*15+I5*15+Y5*15+AI5*15+AG5*15+W5*15+AE5*10)*20/(15*COUNT(N5,I5,Y5,AI5,AG5,W5)+10*COUNT(AE5))</x:f>
        <x:v>58.5</x:v>
      </x:c>
      <x:c r="AL5" s="13" t="n">
        <x:f>(Q5*15+I5*15+Y5*15+AI5*15+AG5*15+X5*15+AE5*10)*20/(15*COUNT(Q5,I5,Y5,AI5,AG5,X5)+10*COUNT(AE5))</x:f>
        <x:v>58.5</x:v>
      </x:c>
      <x:c r="AM5" s="13" t="n">
        <x:f>(N5+I5+Y5+AI5+AG5)*15/COUNT(N5,I5,Y5,AI5,AG5)</x:f>
        <x:v>42</x:v>
      </x:c>
      <x:c r="AN5" s="13" t="n">
        <x:f>(Q5+I5+Y5+AI5+AG5)*15/COUNT(Q5,I5,Y5,AI5,AG5)</x:f>
        <x:v>42</x:v>
      </x:c>
      <x:c r="AO5" s="9" t="n">
        <x:f>IF(I5=1,1,0)+IF(Y5=1,1,0)+IF(AI5=1,1,0)+IF(AG5=1,1,0)</x:f>
        <x:v>1</x:v>
      </x:c>
      <x:c r="AP5" s="14" t="n">
        <x:f>(IF(M5="High",3,IF(M5="Medium",2,1))+IF(J5="High",3,IF(J5="Medium",2,1))+IF(Z5="High",3,IF(Z5="Medium",2,1))+IF(AF5="High",3,IF(AF5="Medium",2,1))+IF(AH5="High",3,IF(AH5="Medium",2,1))+IF(AJ5="High",3,IF(AJ5="Medium",2,1))+2)/7</x:f>
        <x:v>2.142857142857143</x:v>
      </x:c>
      <x:c r="AQ5" s="14" t="n">
        <x:f>(IF(P5="High",3,IF(P5="Medium",2,1))+IF(J5="High",3,IF(J5="Medium",2,1))+IF(Z5="High",3,IF(Z5="Medium",2,1))+IF(AF5="High",3,IF(AF5="Medium",2,1))+IF(AH5="High",3,IF(AH5="Medium",2,1))+IF(AJ5="High",3,IF(AJ5="Medium",2,1))+2)/7</x:f>
        <x:v>2</x:v>
      </x:c>
      <x:c r="AR5" s="9" t="n">
        <x:f>IF(N5="",1,0)+IF(I5="",1,0)+IF(Y5="",1,0)+IF(AI5="",1,0)+IF(AG5="",1,0)+IF(W5="",1,0)+IF(AE5="",1,0)</x:f>
        <x:v>0</x:v>
      </x:c>
      <x:c r="AS5" s="9" t="n">
        <x:f>IF(Q5="",1,0)+IF(I5="",1,0)+IF(Y5="",1,0)+IF(AI5="",1,0)+IF(AG5="",1,0)+IF(X5="",1,0)+IF(AE5="",1,0)</x:f>
        <x:v>0</x:v>
      </x:c>
      <x:c r="AT5" s="9" t="n">
        <x:v>51</x:v>
      </x:c>
      <x:c r="AU5" s="9" t="n">
        <x:v>52</x:v>
      </x:c>
      <x:c r="AV5" s="9" t="str">
        <x:v>Not proposed</x:v>
      </x:c>
      <x:c r="AW5" s="9" t="str"/>
    </x:row>
    <x:row r="6">
      <x:c r="A6" s="9" t="str">
        <x:v>Bolton</x:v>
      </x:c>
      <x:c r="B6" s="9" t="str">
        <x:v>England</x:v>
      </x:c>
      <x:c r="C6" s="9" t="str">
        <x:v>Bolton</x:v>
      </x:c>
      <x:c r="D6" s="12" t="n">
        <x:v>53.577709</x:v>
      </x:c>
      <x:c r="E6" s="12" t="n">
        <x:v>-2.431041</x:v>
      </x:c>
      <x:c r="F6" s="9"/>
      <x:c r="G6" s="9"/>
      <x:c r="H6" s="9" t="str">
        <x:v>data.police.uk street-crime records within 1 mile of Postcodes.io place centroid</x:v>
      </x:c>
      <x:c r="I6" s="9"/>
      <x:c r="J6" s="9" t="str">
        <x:v>Low</x:v>
      </x:c>
      <x:c r="K6" s="10" t="n">
        <x:v>114000</x:v>
      </x:c>
      <x:c r="L6" s="9" t="n">
        <x:v>493</x:v>
      </x:c>
      <x:c r="M6" s="9" t="str">
        <x:v>High</x:v>
      </x:c>
      <x:c r="N6" s="9" t="n">
        <x:f>IF(K6&lt;='Methodology'!$B$15,5,IF(K6&gt;='Methodology'!$B$16,1,3))</x:f>
        <x:v>3</x:v>
      </x:c>
      <x:c r="O6" s="10" t="n">
        <x:v>647</x:v>
      </x:c>
      <x:c r="P6" s="9" t="str">
        <x:v>Medium</x:v>
      </x:c>
      <x:c r="Q6" s="9" t="n">
        <x:f>IF(O6&lt;='Methodology'!$B$17,5,IF(O6&gt;='Methodology'!$B$18,1,3))</x:f>
        <x:v>3</x:v>
      </x:c>
      <x:c r="R6" s="9" t="n">
        <x:v>64</x:v>
      </x:c>
      <x:c r="S6" s="9" t="n">
        <x:v>78</x:v>
      </x:c>
      <x:c r="T6" s="9" t="str">
        <x:v>Unclear</x:v>
      </x:c>
      <x:c r="U6" s="9" t="n">
        <x:v>3</x:v>
      </x:c>
      <x:c r="V6" s="9" t="n">
        <x:v>4</x:v>
      </x:c>
      <x:c r="W6" s="13" t="n">
        <x:f>MAX(1,MIN(5,U6+IF(T6="Known",0.5,IF(T6="Likely",0,-0.5))))</x:f>
        <x:v>2.5</x:v>
      </x:c>
      <x:c r="X6" s="13" t="n">
        <x:f>MAX(1,MIN(5,V6+IF(T6="Known",0.5,IF(T6="Likely",0,-0.5))))</x:f>
        <x:v>3.5</x:v>
      </x:c>
      <x:c r="Y6" s="9" t="n">
        <x:v>4</x:v>
      </x:c>
      <x:c r="Z6" s="9" t="str">
        <x:v>High</x:v>
      </x:c>
      <x:c r="AA6" s="9" t="n">
        <x:v>155</x:v>
      </x:c>
      <x:c r="AB6" s="9" t="n">
        <x:v>1</x:v>
      </x:c>
      <x:c r="AC6" s="9" t="n">
        <x:v>110</x:v>
      </x:c>
      <x:c r="AD6" s="9" t="n">
        <x:v>1</x:v>
      </x:c>
      <x:c r="AE6" s="9" t="n">
        <x:v>4</x:v>
      </x:c>
      <x:c r="AF6" s="9" t="str">
        <x:v>Medium</x:v>
      </x:c>
      <x:c r="AG6" s="9" t="n">
        <x:v>3</x:v>
      </x:c>
      <x:c r="AH6" s="9" t="str">
        <x:v>Medium</x:v>
      </x:c>
      <x:c r="AI6" s="9" t="n">
        <x:v>2</x:v>
      </x:c>
      <x:c r="AJ6" s="9" t="str">
        <x:v>Low</x:v>
      </x:c>
      <x:c r="AK6" s="13" t="n">
        <x:f>(N6*15+I6*15+Y6*15+AI6*15+AG6*15+W6*15+AE6*10)*20/(15*COUNT(N6,I6,Y6,AI6,AG6,W6)+10*COUNT(AE6))</x:f>
        <x:v>60.588235294117645</x:v>
      </x:c>
      <x:c r="AL6" s="13" t="n">
        <x:f>(Q6*15+I6*15+Y6*15+AI6*15+AG6*15+X6*15+AE6*10)*20/(15*COUNT(Q6,I6,Y6,AI6,AG6,X6)+10*COUNT(AE6))</x:f>
        <x:v>64.11764705882354</x:v>
      </x:c>
      <x:c r="AM6" s="13" t="n">
        <x:f>(N6+I6+Y6+AI6+AG6)*15/COUNT(N6,I6,Y6,AI6,AG6)</x:f>
        <x:v>45</x:v>
      </x:c>
      <x:c r="AN6" s="13" t="n">
        <x:f>(Q6+I6+Y6+AI6+AG6)*15/COUNT(Q6,I6,Y6,AI6,AG6)</x:f>
        <x:v>45</x:v>
      </x:c>
      <x:c r="AO6" s="9" t="n">
        <x:f>IF(I6=1,1,0)+IF(Y6=1,1,0)+IF(AI6=1,1,0)+IF(AG6=1,1,0)</x:f>
        <x:v>0</x:v>
      </x:c>
      <x:c r="AP6" s="14" t="n">
        <x:f>(IF(M6="High",3,IF(M6="Medium",2,1))+IF(J6="High",3,IF(J6="Medium",2,1))+IF(Z6="High",3,IF(Z6="Medium",2,1))+IF(AF6="High",3,IF(AF6="Medium",2,1))+IF(AH6="High",3,IF(AH6="Medium",2,1))+IF(AJ6="High",3,IF(AJ6="Medium",2,1))+2)/7</x:f>
        <x:v>2</x:v>
      </x:c>
      <x:c r="AQ6" s="14" t="n">
        <x:f>(IF(P6="High",3,IF(P6="Medium",2,1))+IF(J6="High",3,IF(J6="Medium",2,1))+IF(Z6="High",3,IF(Z6="Medium",2,1))+IF(AF6="High",3,IF(AF6="Medium",2,1))+IF(AH6="High",3,IF(AH6="Medium",2,1))+IF(AJ6="High",3,IF(AJ6="Medium",2,1))+2)/7</x:f>
        <x:v>1.8571428571428572</x:v>
      </x:c>
      <x:c r="AR6" s="9" t="n">
        <x:f>IF(N6="",1,0)+IF(I6="",1,0)+IF(Y6="",1,0)+IF(AI6="",1,0)+IF(AG6="",1,0)+IF(W6="",1,0)+IF(AE6="",1,0)</x:f>
        <x:v>1</x:v>
      </x:c>
      <x:c r="AS6" s="9" t="n">
        <x:f>IF(Q6="",1,0)+IF(I6="",1,0)+IF(Y6="",1,0)+IF(AI6="",1,0)+IF(AG6="",1,0)+IF(X6="",1,0)+IF(AE6="",1,0)</x:f>
        <x:v>1</x:v>
      </x:c>
      <x:c r="AT6" s="9" t="n">
        <x:v>43</x:v>
      </x:c>
      <x:c r="AU6" s="9" t="n">
        <x:v>30</x:v>
      </x:c>
      <x:c r="AV6" s="9" t="str">
        <x:v>Not proposed</x:v>
      </x:c>
      <x:c r="AW6" s="9" t="str"/>
    </x:row>
    <x:row r="7">
      <x:c r="A7" s="9" t="str">
        <x:v>Bradford</x:v>
      </x:c>
      <x:c r="B7" s="9" t="str">
        <x:v>England</x:v>
      </x:c>
      <x:c r="C7" s="9" t="str">
        <x:v>Bradford</x:v>
      </x:c>
      <x:c r="D7" s="12" t="n">
        <x:v>53.790778</x:v>
      </x:c>
      <x:c r="E7" s="12" t="n">
        <x:v>-1.754561</x:v>
      </x:c>
      <x:c r="F7" s="9" t="n">
        <x:v>5287</x:v>
      </x:c>
      <x:c r="G7" s="9" t="n">
        <x:v>978</x:v>
      </x:c>
      <x:c r="H7" s="9" t="str">
        <x:v>data.police.uk street-crime records within 1 mile of Postcodes.io place centroid</x:v>
      </x:c>
      <x:c r="I7" s="9" t="n">
        <x:v>2</x:v>
      </x:c>
      <x:c r="J7" s="9" t="str">
        <x:v>Medium</x:v>
      </x:c>
      <x:c r="K7" s="10" t="n">
        <x:v>99000</x:v>
      </x:c>
      <x:c r="L7" s="9" t="n">
        <x:v>453</x:v>
      </x:c>
      <x:c r="M7" s="9" t="str">
        <x:v>High</x:v>
      </x:c>
      <x:c r="N7" s="9" t="n">
        <x:f>IF(K7&lt;='Methodology'!$B$15,5,IF(K7&gt;='Methodology'!$B$16,1,3))</x:f>
        <x:v>5</x:v>
      </x:c>
      <x:c r="O7" s="10" t="n">
        <x:v>553</x:v>
      </x:c>
      <x:c r="P7" s="9" t="str">
        <x:v>Medium</x:v>
      </x:c>
      <x:c r="Q7" s="9" t="n">
        <x:f>IF(O7&lt;='Methodology'!$B$17,5,IF(O7&gt;='Methodology'!$B$18,1,3))</x:f>
        <x:v>5</x:v>
      </x:c>
      <x:c r="R7" s="9" t="n">
        <x:v>76</x:v>
      </x:c>
      <x:c r="S7" s="9" t="n">
        <x:v>91</x:v>
      </x:c>
      <x:c r="T7" s="9" t="str">
        <x:v>Unclear</x:v>
      </x:c>
      <x:c r="U7" s="9" t="n">
        <x:v>4</x:v>
      </x:c>
      <x:c r="V7" s="9" t="n">
        <x:v>4</x:v>
      </x:c>
      <x:c r="W7" s="13" t="n">
        <x:f>MAX(1,MIN(5,U7+IF(T7="Known",0.5,IF(T7="Likely",0,-0.5))))</x:f>
        <x:v>3.5</x:v>
      </x:c>
      <x:c r="X7" s="13" t="n">
        <x:f>MAX(1,MIN(5,V7+IF(T7="Known",0.5,IF(T7="Likely",0,-0.5))))</x:f>
        <x:v>3.5</x:v>
      </x:c>
      <x:c r="Y7" s="9" t="n">
        <x:v>4</x:v>
      </x:c>
      <x:c r="Z7" s="9" t="str">
        <x:v>High</x:v>
      </x:c>
      <x:c r="AA7" s="9" t="n">
        <x:v>170</x:v>
      </x:c>
      <x:c r="AB7" s="9" t="n">
        <x:v>1</x:v>
      </x:c>
      <x:c r="AC7" s="9" t="n">
        <x:v>145</x:v>
      </x:c>
      <x:c r="AD7" s="9" t="n">
        <x:v>1</x:v>
      </x:c>
      <x:c r="AE7" s="9" t="n">
        <x:v>3</x:v>
      </x:c>
      <x:c r="AF7" s="9" t="str">
        <x:v>Medium</x:v>
      </x:c>
      <x:c r="AG7" s="9" t="n">
        <x:v>2</x:v>
      </x:c>
      <x:c r="AH7" s="9" t="str">
        <x:v>Medium</x:v>
      </x:c>
      <x:c r="AI7" s="9" t="n">
        <x:v>2</x:v>
      </x:c>
      <x:c r="AJ7" s="9" t="str">
        <x:v>Low</x:v>
      </x:c>
      <x:c r="AK7" s="13" t="n">
        <x:f>(N7*15+I7*15+Y7*15+AI7*15+AG7*15+W7*15+AE7*10)*20/(15*COUNT(N7,I7,Y7,AI7,AG7,W7)+10*COUNT(AE7))</x:f>
        <x:v>61.5</x:v>
      </x:c>
      <x:c r="AL7" s="13" t="n">
        <x:f>(Q7*15+I7*15+Y7*15+AI7*15+AG7*15+X7*15+AE7*10)*20/(15*COUNT(Q7,I7,Y7,AI7,AG7,X7)+10*COUNT(AE7))</x:f>
        <x:v>61.5</x:v>
      </x:c>
      <x:c r="AM7" s="13" t="n">
        <x:f>(N7+I7+Y7+AI7+AG7)*15/COUNT(N7,I7,Y7,AI7,AG7)</x:f>
        <x:v>45</x:v>
      </x:c>
      <x:c r="AN7" s="13" t="n">
        <x:f>(Q7+I7+Y7+AI7+AG7)*15/COUNT(Q7,I7,Y7,AI7,AG7)</x:f>
        <x:v>45</x:v>
      </x:c>
      <x:c r="AO7" s="9" t="n">
        <x:f>IF(I7=1,1,0)+IF(Y7=1,1,0)+IF(AI7=1,1,0)+IF(AG7=1,1,0)</x:f>
        <x:v>0</x:v>
      </x:c>
      <x:c r="AP7" s="14" t="n">
        <x:f>(IF(M7="High",3,IF(M7="Medium",2,1))+IF(J7="High",3,IF(J7="Medium",2,1))+IF(Z7="High",3,IF(Z7="Medium",2,1))+IF(AF7="High",3,IF(AF7="Medium",2,1))+IF(AH7="High",3,IF(AH7="Medium",2,1))+IF(AJ7="High",3,IF(AJ7="Medium",2,1))+2)/7</x:f>
        <x:v>2.142857142857143</x:v>
      </x:c>
      <x:c r="AQ7" s="14" t="n">
        <x:f>(IF(P7="High",3,IF(P7="Medium",2,1))+IF(J7="High",3,IF(J7="Medium",2,1))+IF(Z7="High",3,IF(Z7="Medium",2,1))+IF(AF7="High",3,IF(AF7="Medium",2,1))+IF(AH7="High",3,IF(AH7="Medium",2,1))+IF(AJ7="High",3,IF(AJ7="Medium",2,1))+2)/7</x:f>
        <x:v>2</x:v>
      </x:c>
      <x:c r="AR7" s="9" t="n">
        <x:f>IF(N7="",1,0)+IF(I7="",1,0)+IF(Y7="",1,0)+IF(AI7="",1,0)+IF(AG7="",1,0)+IF(W7="",1,0)+IF(AE7="",1,0)</x:f>
        <x:v>0</x:v>
      </x:c>
      <x:c r="AS7" s="9" t="n">
        <x:f>IF(Q7="",1,0)+IF(I7="",1,0)+IF(Y7="",1,0)+IF(AI7="",1,0)+IF(AG7="",1,0)+IF(X7="",1,0)+IF(AE7="",1,0)</x:f>
        <x:v>0</x:v>
      </x:c>
      <x:c r="AT7" s="9" t="n">
        <x:v>40</x:v>
      </x:c>
      <x:c r="AU7" s="9" t="n">
        <x:v>43</x:v>
      </x:c>
      <x:c r="AV7" s="9" t="str">
        <x:v>Not proposed</x:v>
      </x:c>
      <x:c r="AW7" s="9" t="str"/>
    </x:row>
    <x:row r="8">
      <x:c r="A8" s="9" t="str">
        <x:v>Burnley</x:v>
      </x:c>
      <x:c r="B8" s="9" t="str">
        <x:v>England</x:v>
      </x:c>
      <x:c r="C8" s="9" t="str">
        <x:v>Burnley</x:v>
      </x:c>
      <x:c r="D8" s="12" t="n">
        <x:v>53.787517</x:v>
      </x:c>
      <x:c r="E8" s="12" t="n">
        <x:v>-2.24439</x:v>
      </x:c>
      <x:c r="F8" s="9" t="n">
        <x:v>2417</x:v>
      </x:c>
      <x:c r="G8" s="9" t="n">
        <x:v>1565</x:v>
      </x:c>
      <x:c r="H8" s="9" t="str">
        <x:v>data.police.uk street-crime records within 1 mile of Postcodes.io place centroid</x:v>
      </x:c>
      <x:c r="I8" s="9" t="n">
        <x:v>3</x:v>
      </x:c>
      <x:c r="J8" s="9" t="str">
        <x:v>Medium</x:v>
      </x:c>
      <x:c r="K8" s="10" t="n">
        <x:v>88625</x:v>
      </x:c>
      <x:c r="L8" s="9" t="n">
        <x:v>98</x:v>
      </x:c>
      <x:c r="M8" s="9" t="str">
        <x:v>Medium</x:v>
      </x:c>
      <x:c r="N8" s="9" t="n">
        <x:f>IF(K8&lt;='Methodology'!$B$15,5,IF(K8&gt;='Methodology'!$B$16,1,3))</x:f>
        <x:v>5</x:v>
      </x:c>
      <x:c r="O8" s="10" t="n">
        <x:v>463</x:v>
      </x:c>
      <x:c r="P8" s="9" t="str">
        <x:v>Medium</x:v>
      </x:c>
      <x:c r="Q8" s="9" t="n">
        <x:f>IF(O8&lt;='Methodology'!$B$17,5,IF(O8&gt;='Methodology'!$B$18,1,3))</x:f>
        <x:v>5</x:v>
      </x:c>
      <x:c r="R8" s="9" t="n">
        <x:v>5</x:v>
      </x:c>
      <x:c r="S8" s="9" t="n">
        <x:v>22</x:v>
      </x:c>
      <x:c r="T8" s="9" t="str">
        <x:v>Unclear</x:v>
      </x:c>
      <x:c r="U8" s="9" t="n">
        <x:v>1</x:v>
      </x:c>
      <x:c r="V8" s="9" t="n">
        <x:v>2</x:v>
      </x:c>
      <x:c r="W8" s="13" t="n">
        <x:f>MAX(1,MIN(5,U8+IF(T8="Known",0.5,IF(T8="Likely",0,-0.5))))</x:f>
        <x:v>1</x:v>
      </x:c>
      <x:c r="X8" s="13" t="n">
        <x:f>MAX(1,MIN(5,V8+IF(T8="Known",0.5,IF(T8="Likely",0,-0.5))))</x:f>
        <x:v>1.5</x:v>
      </x:c>
      <x:c r="Y8" s="9" t="n">
        <x:v>3</x:v>
      </x:c>
      <x:c r="Z8" s="9" t="str">
        <x:v>Medium</x:v>
      </x:c>
      <x:c r="AA8" s="9" t="n">
        <x:v>190</x:v>
      </x:c>
      <x:c r="AB8" s="9" t="n">
        <x:v>2</x:v>
      </x:c>
      <x:c r="AC8" s="9" t="n">
        <x:v>155</x:v>
      </x:c>
      <x:c r="AD8" s="9" t="n">
        <x:v>2</x:v>
      </x:c>
      <x:c r="AE8" s="9" t="n">
        <x:v>3</x:v>
      </x:c>
      <x:c r="AF8" s="9" t="str">
        <x:v>Medium</x:v>
      </x:c>
      <x:c r="AG8" s="9" t="n">
        <x:v>3</x:v>
      </x:c>
      <x:c r="AH8" s="9" t="str">
        <x:v>Medium</x:v>
      </x:c>
      <x:c r="AI8" s="9" t="n">
        <x:v>2</x:v>
      </x:c>
      <x:c r="AJ8" s="9" t="str">
        <x:v>Low</x:v>
      </x:c>
      <x:c r="AK8" s="13" t="n">
        <x:f>(N8*15+I8*15+Y8*15+AI8*15+AG8*15+W8*15+AE8*10)*20/(15*COUNT(N8,I8,Y8,AI8,AG8,W8)+10*COUNT(AE8))</x:f>
        <x:v>57</x:v>
      </x:c>
      <x:c r="AL8" s="13" t="n">
        <x:f>(Q8*15+I8*15+Y8*15+AI8*15+AG8*15+X8*15+AE8*10)*20/(15*COUNT(Q8,I8,Y8,AI8,AG8,X8)+10*COUNT(AE8))</x:f>
        <x:v>58.5</x:v>
      </x:c>
      <x:c r="AM8" s="13" t="n">
        <x:f>(N8+I8+Y8+AI8+AG8)*15/COUNT(N8,I8,Y8,AI8,AG8)</x:f>
        <x:v>48</x:v>
      </x:c>
      <x:c r="AN8" s="13" t="n">
        <x:f>(Q8+I8+Y8+AI8+AG8)*15/COUNT(Q8,I8,Y8,AI8,AG8)</x:f>
        <x:v>48</x:v>
      </x:c>
      <x:c r="AO8" s="9" t="n">
        <x:f>IF(I8=1,1,0)+IF(Y8=1,1,0)+IF(AI8=1,1,0)+IF(AG8=1,1,0)</x:f>
        <x:v>0</x:v>
      </x:c>
      <x:c r="AP8" s="14" t="n">
        <x:f>(IF(M8="High",3,IF(M8="Medium",2,1))+IF(J8="High",3,IF(J8="Medium",2,1))+IF(Z8="High",3,IF(Z8="Medium",2,1))+IF(AF8="High",3,IF(AF8="Medium",2,1))+IF(AH8="High",3,IF(AH8="Medium",2,1))+IF(AJ8="High",3,IF(AJ8="Medium",2,1))+2)/7</x:f>
        <x:v>1.8571428571428572</x:v>
      </x:c>
      <x:c r="AQ8" s="14" t="n">
        <x:f>(IF(P8="High",3,IF(P8="Medium",2,1))+IF(J8="High",3,IF(J8="Medium",2,1))+IF(Z8="High",3,IF(Z8="Medium",2,1))+IF(AF8="High",3,IF(AF8="Medium",2,1))+IF(AH8="High",3,IF(AH8="Medium",2,1))+IF(AJ8="High",3,IF(AJ8="Medium",2,1))+2)/7</x:f>
        <x:v>1.8571428571428572</x:v>
      </x:c>
      <x:c r="AR8" s="9" t="n">
        <x:f>IF(N8="",1,0)+IF(I8="",1,0)+IF(Y8="",1,0)+IF(AI8="",1,0)+IF(AG8="",1,0)+IF(W8="",1,0)+IF(AE8="",1,0)</x:f>
        <x:v>0</x:v>
      </x:c>
      <x:c r="AS8" s="9" t="n">
        <x:f>IF(Q8="",1,0)+IF(I8="",1,0)+IF(Y8="",1,0)+IF(AI8="",1,0)+IF(AG8="",1,0)+IF(X8="",1,0)+IF(AE8="",1,0)</x:f>
        <x:v>0</x:v>
      </x:c>
      <x:c r="AT8" s="9" t="n">
        <x:v>56</x:v>
      </x:c>
      <x:c r="AU8" s="9" t="n">
        <x:v>49</x:v>
      </x:c>
      <x:c r="AV8" s="9" t="str">
        <x:v>Not proposed</x:v>
      </x:c>
      <x:c r="AW8" s="9" t="str"/>
    </x:row>
    <x:row r="9">
      <x:c r="A9" s="9" t="str">
        <x:v>Burton-on-Trent</x:v>
      </x:c>
      <x:c r="B9" s="9" t="str">
        <x:v>England</x:v>
      </x:c>
      <x:c r="C9" s="9" t="str">
        <x:v>East Staffordshire</x:v>
      </x:c>
      <x:c r="D9" s="12" t="n">
        <x:v>52.807376</x:v>
      </x:c>
      <x:c r="E9" s="12" t="n">
        <x:v>-1.644791</x:v>
      </x:c>
      <x:c r="F9" s="9" t="n">
        <x:v>1710</x:v>
      </x:c>
      <x:c r="G9" s="9" t="n">
        <x:v>499</x:v>
      </x:c>
      <x:c r="H9" s="9" t="str">
        <x:v>data.police.uk street-crime records within 1 mile of Postcodes.io place centroid</x:v>
      </x:c>
      <x:c r="I9" s="9" t="n">
        <x:v>5</x:v>
      </x:c>
      <x:c r="J9" s="9" t="str">
        <x:v>Medium</x:v>
      </x:c>
      <x:c r="K9" s="10" t="n">
        <x:v>104000</x:v>
      </x:c>
      <x:c r="L9" s="9" t="n">
        <x:v>147</x:v>
      </x:c>
      <x:c r="M9" s="9" t="str">
        <x:v>High</x:v>
      </x:c>
      <x:c r="N9" s="9" t="n">
        <x:f>IF(K9&lt;='Methodology'!$B$15,5,IF(K9&gt;='Methodology'!$B$16,1,3))</x:f>
        <x:v>5</x:v>
      </x:c>
      <x:c r="O9" s="10" t="n">
        <x:v>610</x:v>
      </x:c>
      <x:c r="P9" s="9" t="str">
        <x:v>Medium</x:v>
      </x:c>
      <x:c r="Q9" s="9" t="n">
        <x:f>IF(O9&lt;='Methodology'!$B$17,5,IF(O9&gt;='Methodology'!$B$18,1,3))</x:f>
        <x:v>3</x:v>
      </x:c>
      <x:c r="R9" s="9" t="n">
        <x:v>26</x:v>
      </x:c>
      <x:c r="S9" s="9" t="n">
        <x:v>34</x:v>
      </x:c>
      <x:c r="T9" s="9" t="str">
        <x:v>Unclear</x:v>
      </x:c>
      <x:c r="U9" s="9" t="n">
        <x:v>3</x:v>
      </x:c>
      <x:c r="V9" s="9" t="n">
        <x:v>3</x:v>
      </x:c>
      <x:c r="W9" s="13" t="n">
        <x:f>MAX(1,MIN(5,U9+IF(T9="Known",0.5,IF(T9="Likely",0,-0.5))))</x:f>
        <x:v>2.5</x:v>
      </x:c>
      <x:c r="X9" s="13" t="n">
        <x:f>MAX(1,MIN(5,V9+IF(T9="Known",0.5,IF(T9="Likely",0,-0.5))))</x:f>
        <x:v>2.5</x:v>
      </x:c>
      <x:c r="Y9" s="9" t="n">
        <x:v>3</x:v>
      </x:c>
      <x:c r="Z9" s="9" t="str">
        <x:v>Medium</x:v>
      </x:c>
      <x:c r="AA9" s="9" t="n">
        <x:v>95</x:v>
      </x:c>
      <x:c r="AB9" s="9" t="n">
        <x:v>1</x:v>
      </x:c>
      <x:c r="AC9" s="9" t="n">
        <x:v>30</x:v>
      </x:c>
      <x:c r="AD9" s="9" t="n">
        <x:v>0</x:v>
      </x:c>
      <x:c r="AE9" s="9" t="n">
        <x:v>5</x:v>
      </x:c>
      <x:c r="AF9" s="9" t="str">
        <x:v>Medium</x:v>
      </x:c>
      <x:c r="AG9" s="9" t="n">
        <x:v>2</x:v>
      </x:c>
      <x:c r="AH9" s="9" t="str">
        <x:v>Medium</x:v>
      </x:c>
      <x:c r="AI9" s="9" t="n">
        <x:v>3</x:v>
      </x:c>
      <x:c r="AJ9" s="9" t="str">
        <x:v>Low</x:v>
      </x:c>
      <x:c r="AK9" s="13" t="n">
        <x:f>(N9*15+I9*15+Y9*15+AI9*15+AG9*15+W9*15+AE9*10)*20/(15*COUNT(N9,I9,Y9,AI9,AG9,W9)+10*COUNT(AE9))</x:f>
        <x:v>71.5</x:v>
      </x:c>
      <x:c r="AL9" s="13" t="n">
        <x:f>(Q9*15+I9*15+Y9*15+AI9*15+AG9*15+X9*15+AE9*10)*20/(15*COUNT(Q9,I9,Y9,AI9,AG9,X9)+10*COUNT(AE9))</x:f>
        <x:v>65.5</x:v>
      </x:c>
      <x:c r="AM9" s="13" t="n">
        <x:f>(N9+I9+Y9+AI9+AG9)*15/COUNT(N9,I9,Y9,AI9,AG9)</x:f>
        <x:v>54</x:v>
      </x:c>
      <x:c r="AN9" s="13" t="n">
        <x:f>(Q9+I9+Y9+AI9+AG9)*15/COUNT(Q9,I9,Y9,AI9,AG9)</x:f>
        <x:v>48</x:v>
      </x:c>
      <x:c r="AO9" s="9" t="n">
        <x:f>IF(I9=1,1,0)+IF(Y9=1,1,0)+IF(AI9=1,1,0)+IF(AG9=1,1,0)</x:f>
        <x:v>0</x:v>
      </x:c>
      <x:c r="AP9" s="14" t="n">
        <x:f>(IF(M9="High",3,IF(M9="Medium",2,1))+IF(J9="High",3,IF(J9="Medium",2,1))+IF(Z9="High",3,IF(Z9="Medium",2,1))+IF(AF9="High",3,IF(AF9="Medium",2,1))+IF(AH9="High",3,IF(AH9="Medium",2,1))+IF(AJ9="High",3,IF(AJ9="Medium",2,1))+2)/7</x:f>
        <x:v>2</x:v>
      </x:c>
      <x:c r="AQ9" s="14" t="n">
        <x:f>(IF(P9="High",3,IF(P9="Medium",2,1))+IF(J9="High",3,IF(J9="Medium",2,1))+IF(Z9="High",3,IF(Z9="Medium",2,1))+IF(AF9="High",3,IF(AF9="Medium",2,1))+IF(AH9="High",3,IF(AH9="Medium",2,1))+IF(AJ9="High",3,IF(AJ9="Medium",2,1))+2)/7</x:f>
        <x:v>1.8571428571428572</x:v>
      </x:c>
      <x:c r="AR9" s="9" t="n">
        <x:f>IF(N9="",1,0)+IF(I9="",1,0)+IF(Y9="",1,0)+IF(AI9="",1,0)+IF(AG9="",1,0)+IF(W9="",1,0)+IF(AE9="",1,0)</x:f>
        <x:v>0</x:v>
      </x:c>
      <x:c r="AS9" s="9" t="n">
        <x:f>IF(Q9="",1,0)+IF(I9="",1,0)+IF(Y9="",1,0)+IF(AI9="",1,0)+IF(AG9="",1,0)+IF(X9="",1,0)+IF(AE9="",1,0)</x:f>
        <x:v>0</x:v>
      </x:c>
      <x:c r="AT9" s="9" t="n">
        <x:v>4</x:v>
      </x:c>
      <x:c r="AU9" s="9" t="n">
        <x:v>22</x:v>
      </x:c>
      <x:c r="AV9" s="9" t="str">
        <x:v>Proposed</x:v>
      </x:c>
      <x:c r="AW9" s="9" t="str">
        <x:v>Buy</x:v>
      </x:c>
    </x:row>
    <x:row r="10">
      <x:c r="A10" s="9" t="str">
        <x:v>Cardiff</x:v>
      </x:c>
      <x:c r="B10" s="9" t="str">
        <x:v>Wales</x:v>
      </x:c>
      <x:c r="C10" s="9" t="str">
        <x:v>Cardiff</x:v>
      </x:c>
      <x:c r="D10" s="12" t="n">
        <x:v>51.480005</x:v>
      </x:c>
      <x:c r="E10" s="12" t="n">
        <x:v>-3.176855</x:v>
      </x:c>
      <x:c r="F10" s="9" t="n">
        <x:v>4514</x:v>
      </x:c>
      <x:c r="G10" s="9" t="n">
        <x:v>1753</x:v>
      </x:c>
      <x:c r="H10" s="9" t="str">
        <x:v>data.police.uk street-crime records within 1 mile of Postcodes.io place centroid</x:v>
      </x:c>
      <x:c r="I10" s="9" t="n">
        <x:v>2</x:v>
      </x:c>
      <x:c r="J10" s="9" t="str">
        <x:v>Medium</x:v>
      </x:c>
      <x:c r="K10" s="10" t="n">
        <x:v>165000</x:v>
      </x:c>
      <x:c r="L10" s="9" t="n">
        <x:v>1883</x:v>
      </x:c>
      <x:c r="M10" s="9" t="str">
        <x:v>High</x:v>
      </x:c>
      <x:c r="N10" s="9" t="n">
        <x:f>IF(K10&lt;='Methodology'!$B$15,5,IF(K10&gt;='Methodology'!$B$16,1,3))</x:f>
        <x:v>1</x:v>
      </x:c>
      <x:c r="O10" s="10" t="n">
        <x:v>902</x:v>
      </x:c>
      <x:c r="P10" s="9" t="str">
        <x:v>Medium</x:v>
      </x:c>
      <x:c r="Q10" s="9" t="n">
        <x:f>IF(O10&lt;='Methodology'!$B$17,5,IF(O10&gt;='Methodology'!$B$18,1,3))</x:f>
        <x:v>1</x:v>
      </x:c>
      <x:c r="R10" s="9" t="n">
        <x:v>259</x:v>
      </x:c>
      <x:c r="S10" s="9" t="n">
        <x:v>468</x:v>
      </x:c>
      <x:c r="T10" s="9" t="str">
        <x:v>Unclear</x:v>
      </x:c>
      <x:c r="U10" s="9" t="n">
        <x:v>5</x:v>
      </x:c>
      <x:c r="V10" s="9" t="n">
        <x:v>5</x:v>
      </x:c>
      <x:c r="W10" s="13" t="n">
        <x:f>MAX(1,MIN(5,U10+IF(T10="Known",0.5,IF(T10="Likely",0,-0.5))))</x:f>
        <x:v>4.5</x:v>
      </x:c>
      <x:c r="X10" s="13" t="n">
        <x:f>MAX(1,MIN(5,V10+IF(T10="Known",0.5,IF(T10="Likely",0,-0.5))))</x:f>
        <x:v>4.5</x:v>
      </x:c>
      <x:c r="Y10" s="9" t="n">
        <x:v>5</x:v>
      </x:c>
      <x:c r="Z10" s="9" t="str">
        <x:v>High</x:v>
      </x:c>
      <x:c r="AA10" s="9" t="n">
        <x:v>110</x:v>
      </x:c>
      <x:c r="AB10" s="9" t="n">
        <x:v>0</x:v>
      </x:c>
      <x:c r="AC10" s="9" t="n">
        <x:v>120</x:v>
      </x:c>
      <x:c r="AD10" s="9" t="n">
        <x:v>0</x:v>
      </x:c>
      <x:c r="AE10" s="9" t="n">
        <x:v>4</x:v>
      </x:c>
      <x:c r="AF10" s="9" t="str">
        <x:v>Medium</x:v>
      </x:c>
      <x:c r="AG10" s="9" t="n">
        <x:v>2</x:v>
      </x:c>
      <x:c r="AH10" s="9" t="str">
        <x:v>Medium</x:v>
      </x:c>
      <x:c r="AI10" s="9" t="n">
        <x:v>4</x:v>
      </x:c>
      <x:c r="AJ10" s="9" t="str">
        <x:v>Medium</x:v>
      </x:c>
      <x:c r="AK10" s="13" t="n">
        <x:f>(N10*15+I10*15+Y10*15+AI10*15+AG10*15+W10*15+AE10*10)*20/(15*COUNT(N10,I10,Y10,AI10,AG10,W10)+10*COUNT(AE10))</x:f>
        <x:v>63.5</x:v>
      </x:c>
      <x:c r="AL10" s="13" t="n">
        <x:f>(Q10*15+I10*15+Y10*15+AI10*15+AG10*15+X10*15+AE10*10)*20/(15*COUNT(Q10,I10,Y10,AI10,AG10,X10)+10*COUNT(AE10))</x:f>
        <x:v>63.5</x:v>
      </x:c>
      <x:c r="AM10" s="13" t="n">
        <x:f>(N10+I10+Y10+AI10+AG10)*15/COUNT(N10,I10,Y10,AI10,AG10)</x:f>
        <x:v>42</x:v>
      </x:c>
      <x:c r="AN10" s="13" t="n">
        <x:f>(Q10+I10+Y10+AI10+AG10)*15/COUNT(Q10,I10,Y10,AI10,AG10)</x:f>
        <x:v>42</x:v>
      </x:c>
      <x:c r="AO10" s="9" t="n">
        <x:f>IF(I10=1,1,0)+IF(Y10=1,1,0)+IF(AI10=1,1,0)+IF(AG10=1,1,0)</x:f>
        <x:v>0</x:v>
      </x:c>
      <x:c r="AP10" s="14" t="n">
        <x:f>(IF(M10="High",3,IF(M10="Medium",2,1))+IF(J10="High",3,IF(J10="Medium",2,1))+IF(Z10="High",3,IF(Z10="Medium",2,1))+IF(AF10="High",3,IF(AF10="Medium",2,1))+IF(AH10="High",3,IF(AH10="Medium",2,1))+IF(AJ10="High",3,IF(AJ10="Medium",2,1))+2)/7</x:f>
        <x:v>2.2857142857142856</x:v>
      </x:c>
      <x:c r="AQ10" s="14" t="n">
        <x:f>(IF(P10="High",3,IF(P10="Medium",2,1))+IF(J10="High",3,IF(J10="Medium",2,1))+IF(Z10="High",3,IF(Z10="Medium",2,1))+IF(AF10="High",3,IF(AF10="Medium",2,1))+IF(AH10="High",3,IF(AH10="Medium",2,1))+IF(AJ10="High",3,IF(AJ10="Medium",2,1))+2)/7</x:f>
        <x:v>2.142857142857143</x:v>
      </x:c>
      <x:c r="AR10" s="9" t="n">
        <x:f>IF(N10="",1,0)+IF(I10="",1,0)+IF(Y10="",1,0)+IF(AI10="",1,0)+IF(AG10="",1,0)+IF(W10="",1,0)+IF(AE10="",1,0)</x:f>
        <x:v>0</x:v>
      </x:c>
      <x:c r="AS10" s="9" t="n">
        <x:f>IF(Q10="",1,0)+IF(I10="",1,0)+IF(Y10="",1,0)+IF(AI10="",1,0)+IF(AG10="",1,0)+IF(X10="",1,0)+IF(AE10="",1,0)</x:f>
        <x:v>0</x:v>
      </x:c>
      <x:c r="AT10" s="9" t="n">
        <x:v>30</x:v>
      </x:c>
      <x:c r="AU10" s="9" t="n">
        <x:v>35</x:v>
      </x:c>
      <x:c r="AV10" s="9" t="str">
        <x:v>Not proposed</x:v>
      </x:c>
      <x:c r="AW10" s="9" t="str"/>
    </x:row>
    <x:row r="11">
      <x:c r="A11" s="9" t="str">
        <x:v>Chester</x:v>
      </x:c>
      <x:c r="B11" s="9" t="str">
        <x:v>England</x:v>
      </x:c>
      <x:c r="C11" s="9" t="str">
        <x:v>Cheshire West and Chester</x:v>
      </x:c>
      <x:c r="D11" s="12" t="n">
        <x:v>53.190204</x:v>
      </x:c>
      <x:c r="E11" s="12" t="n">
        <x:v>-2.891644</x:v>
      </x:c>
      <x:c r="F11" s="9" t="n">
        <x:v>1929</x:v>
      </x:c>
      <x:c r="G11" s="9" t="n">
        <x:v>438</x:v>
      </x:c>
      <x:c r="H11" s="9" t="str">
        <x:v>data.police.uk street-crime records within 1 mile of Postcodes.io place centroid</x:v>
      </x:c>
      <x:c r="I11" s="9" t="n">
        <x:v>5</x:v>
      </x:c>
      <x:c r="J11" s="9" t="str">
        <x:v>Medium</x:v>
      </x:c>
      <x:c r="K11" s="10" t="n">
        <x:v>165000</x:v>
      </x:c>
      <x:c r="L11" s="9" t="n">
        <x:v>570</x:v>
      </x:c>
      <x:c r="M11" s="9" t="str">
        <x:v>High</x:v>
      </x:c>
      <x:c r="N11" s="9" t="n">
        <x:f>IF(K11&lt;='Methodology'!$B$15,5,IF(K11&gt;='Methodology'!$B$16,1,3))</x:f>
        <x:v>1</x:v>
      </x:c>
      <x:c r="O11" s="10" t="n">
        <x:v>721</x:v>
      </x:c>
      <x:c r="P11" s="9" t="str">
        <x:v>Medium</x:v>
      </x:c>
      <x:c r="Q11" s="9" t="n">
        <x:f>IF(O11&lt;='Methodology'!$B$17,5,IF(O11&gt;='Methodology'!$B$18,1,3))</x:f>
        <x:v>1</x:v>
      </x:c>
      <x:c r="R11" s="9" t="n">
        <x:v>43</x:v>
      </x:c>
      <x:c r="S11" s="9" t="n">
        <x:v>54</x:v>
      </x:c>
      <x:c r="T11" s="9" t="str">
        <x:v>Unclear</x:v>
      </x:c>
      <x:c r="U11" s="9" t="n">
        <x:v>3</x:v>
      </x:c>
      <x:c r="V11" s="9" t="n">
        <x:v>3</x:v>
      </x:c>
      <x:c r="W11" s="13" t="n">
        <x:f>MAX(1,MIN(5,U11+IF(T11="Known",0.5,IF(T11="Likely",0,-0.5))))</x:f>
        <x:v>2.5</x:v>
      </x:c>
      <x:c r="X11" s="13" t="n">
        <x:f>MAX(1,MIN(5,V11+IF(T11="Known",0.5,IF(T11="Likely",0,-0.5))))</x:f>
        <x:v>2.5</x:v>
      </x:c>
      <x:c r="Y11" s="9" t="n">
        <x:v>4</x:v>
      </x:c>
      <x:c r="Z11" s="9" t="str">
        <x:v>Medium</x:v>
      </x:c>
      <x:c r="AA11" s="9" t="n">
        <x:v>125</x:v>
      </x:c>
      <x:c r="AB11" s="9" t="n">
        <x:v>0</x:v>
      </x:c>
      <x:c r="AC11" s="9" t="n">
        <x:v>75</x:v>
      </x:c>
      <x:c r="AD11" s="9" t="n">
        <x:v>0</x:v>
      </x:c>
      <x:c r="AE11" s="9" t="n">
        <x:v>4</x:v>
      </x:c>
      <x:c r="AF11" s="9" t="str">
        <x:v>Medium</x:v>
      </x:c>
      <x:c r="AG11" s="9" t="n">
        <x:v>4</x:v>
      </x:c>
      <x:c r="AH11" s="9" t="str">
        <x:v>Medium</x:v>
      </x:c>
      <x:c r="AI11" s="9" t="n">
        <x:v>5</x:v>
      </x:c>
      <x:c r="AJ11" s="9" t="str">
        <x:v>Medium</x:v>
      </x:c>
      <x:c r="AK11" s="13" t="n">
        <x:f>(N11*15+I11*15+Y11*15+AI11*15+AG11*15+W11*15+AE11*10)*20/(15*COUNT(N11,I11,Y11,AI11,AG11,W11)+10*COUNT(AE11))</x:f>
        <x:v>72.5</x:v>
      </x:c>
      <x:c r="AL11" s="13" t="n">
        <x:f>(Q11*15+I11*15+Y11*15+AI11*15+AG11*15+X11*15+AE11*10)*20/(15*COUNT(Q11,I11,Y11,AI11,AG11,X11)+10*COUNT(AE11))</x:f>
        <x:v>72.5</x:v>
      </x:c>
      <x:c r="AM11" s="13" t="n">
        <x:f>(N11+I11+Y11+AI11+AG11)*15/COUNT(N11,I11,Y11,AI11,AG11)</x:f>
        <x:v>57</x:v>
      </x:c>
      <x:c r="AN11" s="13" t="n">
        <x:f>(Q11+I11+Y11+AI11+AG11)*15/COUNT(Q11,I11,Y11,AI11,AG11)</x:f>
        <x:v>57</x:v>
      </x:c>
      <x:c r="AO11" s="9" t="n">
        <x:f>IF(I11=1,1,0)+IF(Y11=1,1,0)+IF(AI11=1,1,0)+IF(AG11=1,1,0)</x:f>
        <x:v>0</x:v>
      </x:c>
      <x:c r="AP11" s="14" t="n">
        <x:f>(IF(M11="High",3,IF(M11="Medium",2,1))+IF(J11="High",3,IF(J11="Medium",2,1))+IF(Z11="High",3,IF(Z11="Medium",2,1))+IF(AF11="High",3,IF(AF11="Medium",2,1))+IF(AH11="High",3,IF(AH11="Medium",2,1))+IF(AJ11="High",3,IF(AJ11="Medium",2,1))+2)/7</x:f>
        <x:v>2.142857142857143</x:v>
      </x:c>
      <x:c r="AQ11" s="14" t="n">
        <x:f>(IF(P11="High",3,IF(P11="Medium",2,1))+IF(J11="High",3,IF(J11="Medium",2,1))+IF(Z11="High",3,IF(Z11="Medium",2,1))+IF(AF11="High",3,IF(AF11="Medium",2,1))+IF(AH11="High",3,IF(AH11="Medium",2,1))+IF(AJ11="High",3,IF(AJ11="Medium",2,1))+2)/7</x:f>
        <x:v>2</x:v>
      </x:c>
      <x:c r="AR11" s="9" t="n">
        <x:f>IF(N11="",1,0)+IF(I11="",1,0)+IF(Y11="",1,0)+IF(AI11="",1,0)+IF(AG11="",1,0)+IF(W11="",1,0)+IF(AE11="",1,0)</x:f>
        <x:v>0</x:v>
      </x:c>
      <x:c r="AS11" s="9" t="n">
        <x:f>IF(Q11="",1,0)+IF(I11="",1,0)+IF(Y11="",1,0)+IF(AI11="",1,0)+IF(AG11="",1,0)+IF(X11="",1,0)+IF(AE11="",1,0)</x:f>
        <x:v>0</x:v>
      </x:c>
      <x:c r="AT11" s="9" t="n">
        <x:v>1</x:v>
      </x:c>
      <x:c r="AU11" s="9" t="n">
        <x:v>3</x:v>
      </x:c>
      <x:c r="AV11" s="9" t="str">
        <x:v>Proposed</x:v>
      </x:c>
      <x:c r="AW11" s="9" t="str">
        <x:v>Both</x:v>
      </x:c>
    </x:row>
    <x:row r="12">
      <x:c r="A12" s="9" t="str">
        <x:v>Chesterfield</x:v>
      </x:c>
      <x:c r="B12" s="9" t="str">
        <x:v>England</x:v>
      </x:c>
      <x:c r="C12" s="9" t="str">
        <x:v>Chesterfield</x:v>
      </x:c>
      <x:c r="D12" s="12" t="n">
        <x:v>53.23633</x:v>
      </x:c>
      <x:c r="E12" s="12" t="n">
        <x:v>-1.429206</x:v>
      </x:c>
      <x:c r="F12" s="9" t="n">
        <x:v>1799</x:v>
      </x:c>
      <x:c r="G12" s="9" t="n">
        <x:v>878</x:v>
      </x:c>
      <x:c r="H12" s="9" t="str">
        <x:v>data.police.uk street-crime records within 1 mile of Postcodes.io place centroid</x:v>
      </x:c>
      <x:c r="I12" s="9" t="n">
        <x:v>4</x:v>
      </x:c>
      <x:c r="J12" s="9" t="str">
        <x:v>Medium</x:v>
      </x:c>
      <x:c r="K12" s="10" t="n">
        <x:v>115500</x:v>
      </x:c>
      <x:c r="L12" s="9" t="n">
        <x:v>204</x:v>
      </x:c>
      <x:c r="M12" s="9" t="str">
        <x:v>High</x:v>
      </x:c>
      <x:c r="N12" s="9" t="n">
        <x:f>IF(K12&lt;='Methodology'!$B$15,5,IF(K12&gt;='Methodology'!$B$16,1,3))</x:f>
        <x:v>3</x:v>
      </x:c>
      <x:c r="O12" s="10" t="n">
        <x:v>538</x:v>
      </x:c>
      <x:c r="P12" s="9" t="str">
        <x:v>Medium</x:v>
      </x:c>
      <x:c r="Q12" s="9" t="n">
        <x:f>IF(O12&lt;='Methodology'!$B$17,5,IF(O12&gt;='Methodology'!$B$18,1,3))</x:f>
        <x:v>5</x:v>
      </x:c>
      <x:c r="R12" s="9" t="n">
        <x:v>14</x:v>
      </x:c>
      <x:c r="S12" s="9" t="n">
        <x:v>31</x:v>
      </x:c>
      <x:c r="T12" s="9" t="str">
        <x:v>Unclear</x:v>
      </x:c>
      <x:c r="U12" s="9" t="n">
        <x:v>2</x:v>
      </x:c>
      <x:c r="V12" s="9" t="n">
        <x:v>3</x:v>
      </x:c>
      <x:c r="W12" s="13" t="n">
        <x:f>MAX(1,MIN(5,U12+IF(T12="Known",0.5,IF(T12="Likely",0,-0.5))))</x:f>
        <x:v>1.5</x:v>
      </x:c>
      <x:c r="X12" s="13" t="n">
        <x:f>MAX(1,MIN(5,V12+IF(T12="Known",0.5,IF(T12="Likely",0,-0.5))))</x:f>
        <x:v>2.5</x:v>
      </x:c>
      <x:c r="Y12" s="9" t="n">
        <x:v>3</x:v>
      </x:c>
      <x:c r="Z12" s="9" t="str">
        <x:v>Medium</x:v>
      </x:c>
      <x:c r="AA12" s="9" t="n">
        <x:v>115</x:v>
      </x:c>
      <x:c r="AB12" s="9" t="n">
        <x:v>0</x:v>
      </x:c>
      <x:c r="AC12" s="9" t="n">
        <x:v>65</x:v>
      </x:c>
      <x:c r="AD12" s="9" t="n">
        <x:v>0</x:v>
      </x:c>
      <x:c r="AE12" s="9" t="n">
        <x:v>5</x:v>
      </x:c>
      <x:c r="AF12" s="9" t="str">
        <x:v>Medium</x:v>
      </x:c>
      <x:c r="AG12" s="9" t="n">
        <x:v>3</x:v>
      </x:c>
      <x:c r="AH12" s="9" t="str">
        <x:v>Medium</x:v>
      </x:c>
      <x:c r="AI12" s="9" t="n">
        <x:v>4</x:v>
      </x:c>
      <x:c r="AJ12" s="9" t="str">
        <x:v>Medium</x:v>
      </x:c>
      <x:c r="AK12" s="13" t="n">
        <x:f>(N12*15+I12*15+Y12*15+AI12*15+AG12*15+W12*15+AE12*10)*20/(15*COUNT(N12,I12,Y12,AI12,AG12,W12)+10*COUNT(AE12))</x:f>
        <x:v>65.5</x:v>
      </x:c>
      <x:c r="AL12" s="13" t="n">
        <x:f>(Q12*15+I12*15+Y12*15+AI12*15+AG12*15+X12*15+AE12*10)*20/(15*COUNT(Q12,I12,Y12,AI12,AG12,X12)+10*COUNT(AE12))</x:f>
        <x:v>74.5</x:v>
      </x:c>
      <x:c r="AM12" s="13" t="n">
        <x:f>(N12+I12+Y12+AI12+AG12)*15/COUNT(N12,I12,Y12,AI12,AG12)</x:f>
        <x:v>51</x:v>
      </x:c>
      <x:c r="AN12" s="13" t="n">
        <x:f>(Q12+I12+Y12+AI12+AG12)*15/COUNT(Q12,I12,Y12,AI12,AG12)</x:f>
        <x:v>57</x:v>
      </x:c>
      <x:c r="AO12" s="9" t="n">
        <x:f>IF(I12=1,1,0)+IF(Y12=1,1,0)+IF(AI12=1,1,0)+IF(AG12=1,1,0)</x:f>
        <x:v>0</x:v>
      </x:c>
      <x:c r="AP12" s="14" t="n">
        <x:f>(IF(M12="High",3,IF(M12="Medium",2,1))+IF(J12="High",3,IF(J12="Medium",2,1))+IF(Z12="High",3,IF(Z12="Medium",2,1))+IF(AF12="High",3,IF(AF12="Medium",2,1))+IF(AH12="High",3,IF(AH12="Medium",2,1))+IF(AJ12="High",3,IF(AJ12="Medium",2,1))+2)/7</x:f>
        <x:v>2.142857142857143</x:v>
      </x:c>
      <x:c r="AQ12" s="14" t="n">
        <x:f>(IF(P12="High",3,IF(P12="Medium",2,1))+IF(J12="High",3,IF(J12="Medium",2,1))+IF(Z12="High",3,IF(Z12="Medium",2,1))+IF(AF12="High",3,IF(AF12="Medium",2,1))+IF(AH12="High",3,IF(AH12="Medium",2,1))+IF(AJ12="High",3,IF(AJ12="Medium",2,1))+2)/7</x:f>
        <x:v>2</x:v>
      </x:c>
      <x:c r="AR12" s="9" t="n">
        <x:f>IF(N12="",1,0)+IF(I12="",1,0)+IF(Y12="",1,0)+IF(AI12="",1,0)+IF(AG12="",1,0)+IF(W12="",1,0)+IF(AE12="",1,0)</x:f>
        <x:v>0</x:v>
      </x:c>
      <x:c r="AS12" s="9" t="n">
        <x:f>IF(Q12="",1,0)+IF(I12="",1,0)+IF(Y12="",1,0)+IF(AI12="",1,0)+IF(AG12="",1,0)+IF(X12="",1,0)+IF(AE12="",1,0)</x:f>
        <x:v>0</x:v>
      </x:c>
      <x:c r="AT12" s="9" t="n">
        <x:v>15</x:v>
      </x:c>
      <x:c r="AU12" s="9" t="n">
        <x:v>2</x:v>
      </x:c>
      <x:c r="AV12" s="9" t="str">
        <x:v>Proposed</x:v>
      </x:c>
      <x:c r="AW12" s="9" t="str">
        <x:v>Rent</x:v>
      </x:c>
    </x:row>
    <x:row r="13">
      <x:c r="A13" s="9" t="str">
        <x:v>Coventry</x:v>
      </x:c>
      <x:c r="B13" s="9" t="str">
        <x:v>England</x:v>
      </x:c>
      <x:c r="C13" s="9" t="str">
        <x:v>Coventry</x:v>
      </x:c>
      <x:c r="D13" s="12" t="n">
        <x:v>52.407707</x:v>
      </x:c>
      <x:c r="E13" s="12" t="n">
        <x:v>-1.506857</x:v>
      </x:c>
      <x:c r="F13" s="9" t="n">
        <x:v>4663</x:v>
      </x:c>
      <x:c r="G13" s="9" t="n">
        <x:v>555</x:v>
      </x:c>
      <x:c r="H13" s="9" t="str">
        <x:v>data.police.uk street-crime records within 1 mile of Postcodes.io place centroid</x:v>
      </x:c>
      <x:c r="I13" s="9" t="n">
        <x:v>3</x:v>
      </x:c>
      <x:c r="J13" s="9" t="str">
        <x:v>Medium</x:v>
      </x:c>
      <x:c r="K13" s="10" t="n">
        <x:v>135000</x:v>
      </x:c>
      <x:c r="L13" s="9" t="n">
        <x:v>830</x:v>
      </x:c>
      <x:c r="M13" s="9" t="str">
        <x:v>High</x:v>
      </x:c>
      <x:c r="N13" s="9" t="n">
        <x:f>IF(K13&lt;='Methodology'!$B$15,5,IF(K13&gt;='Methodology'!$B$16,1,3))</x:f>
        <x:v>3</x:v>
      </x:c>
      <x:c r="O13" s="10" t="n">
        <x:v>759</x:v>
      </x:c>
      <x:c r="P13" s="9" t="str">
        <x:v>Medium</x:v>
      </x:c>
      <x:c r="Q13" s="9" t="n">
        <x:f>IF(O13&lt;='Methodology'!$B$17,5,IF(O13&gt;='Methodology'!$B$18,1,3))</x:f>
        <x:v>1</x:v>
      </x:c>
      <x:c r="R13" s="9" t="n">
        <x:v>88</x:v>
      </x:c>
      <x:c r="S13" s="9" t="n">
        <x:v>184</x:v>
      </x:c>
      <x:c r="T13" s="9" t="str">
        <x:v>Unclear</x:v>
      </x:c>
      <x:c r="U13" s="9" t="n">
        <x:v>4</x:v>
      </x:c>
      <x:c r="V13" s="9" t="n">
        <x:v>4</x:v>
      </x:c>
      <x:c r="W13" s="13" t="n">
        <x:f>MAX(1,MIN(5,U13+IF(T13="Known",0.5,IF(T13="Likely",0,-0.5))))</x:f>
        <x:v>3.5</x:v>
      </x:c>
      <x:c r="X13" s="13" t="n">
        <x:f>MAX(1,MIN(5,V13+IF(T13="Known",0.5,IF(T13="Likely",0,-0.5))))</x:f>
        <x:v>3.5</x:v>
      </x:c>
      <x:c r="Y13" s="9" t="n">
        <x:v>4</x:v>
      </x:c>
      <x:c r="Z13" s="9" t="str">
        <x:v>High</x:v>
      </x:c>
      <x:c r="AA13" s="9" t="n">
        <x:v>60</x:v>
      </x:c>
      <x:c r="AB13" s="9" t="n">
        <x:v>0</x:v>
      </x:c>
      <x:c r="AC13" s="9" t="n">
        <x:v>20</x:v>
      </x:c>
      <x:c r="AD13" s="9" t="n">
        <x:v>0</x:v>
      </x:c>
      <x:c r="AE13" s="9" t="n">
        <x:v>5</x:v>
      </x:c>
      <x:c r="AF13" s="9" t="str">
        <x:v>Medium</x:v>
      </x:c>
      <x:c r="AG13" s="9" t="n">
        <x:v>2</x:v>
      </x:c>
      <x:c r="AH13" s="9" t="str">
        <x:v>Medium</x:v>
      </x:c>
      <x:c r="AI13" s="9" t="n">
        <x:v>3</x:v>
      </x:c>
      <x:c r="AJ13" s="9" t="str">
        <x:v>Low</x:v>
      </x:c>
      <x:c r="AK13" s="13" t="n">
        <x:f>(N13*15+I13*15+Y13*15+AI13*15+AG13*15+W13*15+AE13*10)*20/(15*COUNT(N13,I13,Y13,AI13,AG13,W13)+10*COUNT(AE13))</x:f>
        <x:v>65.5</x:v>
      </x:c>
      <x:c r="AL13" s="13" t="n">
        <x:f>(Q13*15+I13*15+Y13*15+AI13*15+AG13*15+X13*15+AE13*10)*20/(15*COUNT(Q13,I13,Y13,AI13,AG13,X13)+10*COUNT(AE13))</x:f>
        <x:v>59.5</x:v>
      </x:c>
      <x:c r="AM13" s="13" t="n">
        <x:f>(N13+I13+Y13+AI13+AG13)*15/COUNT(N13,I13,Y13,AI13,AG13)</x:f>
        <x:v>45</x:v>
      </x:c>
      <x:c r="AN13" s="13" t="n">
        <x:f>(Q13+I13+Y13+AI13+AG13)*15/COUNT(Q13,I13,Y13,AI13,AG13)</x:f>
        <x:v>39</x:v>
      </x:c>
      <x:c r="AO13" s="9" t="n">
        <x:f>IF(I13=1,1,0)+IF(Y13=1,1,0)+IF(AI13=1,1,0)+IF(AG13=1,1,0)</x:f>
        <x:v>0</x:v>
      </x:c>
      <x:c r="AP13" s="14" t="n">
        <x:f>(IF(M13="High",3,IF(M13="Medium",2,1))+IF(J13="High",3,IF(J13="Medium",2,1))+IF(Z13="High",3,IF(Z13="Medium",2,1))+IF(AF13="High",3,IF(AF13="Medium",2,1))+IF(AH13="High",3,IF(AH13="Medium",2,1))+IF(AJ13="High",3,IF(AJ13="Medium",2,1))+2)/7</x:f>
        <x:v>2.142857142857143</x:v>
      </x:c>
      <x:c r="AQ13" s="14" t="n">
        <x:f>(IF(P13="High",3,IF(P13="Medium",2,1))+IF(J13="High",3,IF(J13="Medium",2,1))+IF(Z13="High",3,IF(Z13="Medium",2,1))+IF(AF13="High",3,IF(AF13="Medium",2,1))+IF(AH13="High",3,IF(AH13="Medium",2,1))+IF(AJ13="High",3,IF(AJ13="Medium",2,1))+2)/7</x:f>
        <x:v>2</x:v>
      </x:c>
      <x:c r="AR13" s="9" t="n">
        <x:f>IF(N13="",1,0)+IF(I13="",1,0)+IF(Y13="",1,0)+IF(AI13="",1,0)+IF(AG13="",1,0)+IF(W13="",1,0)+IF(AE13="",1,0)</x:f>
        <x:v>0</x:v>
      </x:c>
      <x:c r="AS13" s="9" t="n">
        <x:f>IF(Q13="",1,0)+IF(I13="",1,0)+IF(Y13="",1,0)+IF(AI13="",1,0)+IF(AG13="",1,0)+IF(X13="",1,0)+IF(AE13="",1,0)</x:f>
        <x:v>0</x:v>
      </x:c>
      <x:c r="AT13" s="9" t="n">
        <x:v>21</x:v>
      </x:c>
      <x:c r="AU13" s="9" t="n">
        <x:v>48</x:v>
      </x:c>
      <x:c r="AV13" s="9" t="str">
        <x:v>Not proposed</x:v>
      </x:c>
      <x:c r="AW13" s="9" t="str"/>
    </x:row>
    <x:row r="14">
      <x:c r="A14" s="9" t="str">
        <x:v>Darlington</x:v>
      </x:c>
      <x:c r="B14" s="9" t="str">
        <x:v>England</x:v>
      </x:c>
      <x:c r="C14" s="9" t="str">
        <x:v>Darlington</x:v>
      </x:c>
      <x:c r="D14" s="12" t="n">
        <x:v>54.523274</x:v>
      </x:c>
      <x:c r="E14" s="12" t="n">
        <x:v>-1.553611</x:v>
      </x:c>
      <x:c r="F14" s="9" t="n">
        <x:v>2195</x:v>
      </x:c>
      <x:c r="G14" s="9" t="n">
        <x:v>1576</x:v>
      </x:c>
      <x:c r="H14" s="9" t="str">
        <x:v>data.police.uk street-crime records within 1 mile of Postcodes.io place centroid</x:v>
      </x:c>
      <x:c r="I14" s="9" t="n">
        <x:v>3</x:v>
      </x:c>
      <x:c r="J14" s="9" t="str">
        <x:v>Medium</x:v>
      </x:c>
      <x:c r="K14" s="10" t="n">
        <x:v>95000</x:v>
      </x:c>
      <x:c r="L14" s="9" t="n">
        <x:v>220</x:v>
      </x:c>
      <x:c r="M14" s="9" t="str">
        <x:v>High</x:v>
      </x:c>
      <x:c r="N14" s="9" t="n">
        <x:f>IF(K14&lt;='Methodology'!$B$15,5,IF(K14&gt;='Methodology'!$B$16,1,3))</x:f>
        <x:v>5</x:v>
      </x:c>
      <x:c r="O14" s="10" t="n">
        <x:v>494</x:v>
      </x:c>
      <x:c r="P14" s="9" t="str">
        <x:v>Medium</x:v>
      </x:c>
      <x:c r="Q14" s="9" t="n">
        <x:f>IF(O14&lt;='Methodology'!$B$17,5,IF(O14&gt;='Methodology'!$B$18,1,3))</x:f>
        <x:v>5</x:v>
      </x:c>
      <x:c r="R14" s="9" t="n">
        <x:v>23</x:v>
      </x:c>
      <x:c r="S14" s="9" t="n">
        <x:v>24</x:v>
      </x:c>
      <x:c r="T14" s="9" t="str">
        <x:v>Unclear</x:v>
      </x:c>
      <x:c r="U14" s="9" t="n">
        <x:v>2</x:v>
      </x:c>
      <x:c r="V14" s="9" t="n">
        <x:v>2</x:v>
      </x:c>
      <x:c r="W14" s="13" t="n">
        <x:f>MAX(1,MIN(5,U14+IF(T14="Known",0.5,IF(T14="Likely",0,-0.5))))</x:f>
        <x:v>1.5</x:v>
      </x:c>
      <x:c r="X14" s="13" t="n">
        <x:f>MAX(1,MIN(5,V14+IF(T14="Known",0.5,IF(T14="Likely",0,-0.5))))</x:f>
        <x:v>1.5</x:v>
      </x:c>
      <x:c r="Y14" s="9" t="n">
        <x:v>4</x:v>
      </x:c>
      <x:c r="Z14" s="9" t="str">
        <x:v>Medium</x:v>
      </x:c>
      <x:c r="AA14" s="9" t="n">
        <x:v>135</x:v>
      </x:c>
      <x:c r="AB14" s="9" t="n">
        <x:v>0</x:v>
      </x:c>
      <x:c r="AC14" s="9" t="n">
        <x:v>145</x:v>
      </x:c>
      <x:c r="AD14" s="9" t="n">
        <x:v>1</x:v>
      </x:c>
      <x:c r="AE14" s="9" t="n">
        <x:v>3</x:v>
      </x:c>
      <x:c r="AF14" s="9" t="str">
        <x:v>Medium</x:v>
      </x:c>
      <x:c r="AG14" s="9" t="n">
        <x:v>3</x:v>
      </x:c>
      <x:c r="AH14" s="9" t="str">
        <x:v>Medium</x:v>
      </x:c>
      <x:c r="AI14" s="9" t="n">
        <x:v>3</x:v>
      </x:c>
      <x:c r="AJ14" s="9" t="str">
        <x:v>Low</x:v>
      </x:c>
      <x:c r="AK14" s="13" t="n">
        <x:f>(N14*15+I14*15+Y14*15+AI14*15+AG14*15+W14*15+AE14*10)*20/(15*COUNT(N14,I14,Y14,AI14,AG14,W14)+10*COUNT(AE14))</x:f>
        <x:v>64.5</x:v>
      </x:c>
      <x:c r="AL14" s="13" t="n">
        <x:f>(Q14*15+I14*15+Y14*15+AI14*15+AG14*15+X14*15+AE14*10)*20/(15*COUNT(Q14,I14,Y14,AI14,AG14,X14)+10*COUNT(AE14))</x:f>
        <x:v>64.5</x:v>
      </x:c>
      <x:c r="AM14" s="13" t="n">
        <x:f>(N14+I14+Y14+AI14+AG14)*15/COUNT(N14,I14,Y14,AI14,AG14)</x:f>
        <x:v>54</x:v>
      </x:c>
      <x:c r="AN14" s="13" t="n">
        <x:f>(Q14+I14+Y14+AI14+AG14)*15/COUNT(Q14,I14,Y14,AI14,AG14)</x:f>
        <x:v>54</x:v>
      </x:c>
      <x:c r="AO14" s="9" t="n">
        <x:f>IF(I14=1,1,0)+IF(Y14=1,1,0)+IF(AI14=1,1,0)+IF(AG14=1,1,0)</x:f>
        <x:v>0</x:v>
      </x:c>
      <x:c r="AP14" s="14" t="n">
        <x:f>(IF(M14="High",3,IF(M14="Medium",2,1))+IF(J14="High",3,IF(J14="Medium",2,1))+IF(Z14="High",3,IF(Z14="Medium",2,1))+IF(AF14="High",3,IF(AF14="Medium",2,1))+IF(AH14="High",3,IF(AH14="Medium",2,1))+IF(AJ14="High",3,IF(AJ14="Medium",2,1))+2)/7</x:f>
        <x:v>2</x:v>
      </x:c>
      <x:c r="AQ14" s="14" t="n">
        <x:f>(IF(P14="High",3,IF(P14="Medium",2,1))+IF(J14="High",3,IF(J14="Medium",2,1))+IF(Z14="High",3,IF(Z14="Medium",2,1))+IF(AF14="High",3,IF(AF14="Medium",2,1))+IF(AH14="High",3,IF(AH14="Medium",2,1))+IF(AJ14="High",3,IF(AJ14="Medium",2,1))+2)/7</x:f>
        <x:v>1.8571428571428572</x:v>
      </x:c>
      <x:c r="AR14" s="9" t="n">
        <x:f>IF(N14="",1,0)+IF(I14="",1,0)+IF(Y14="",1,0)+IF(AI14="",1,0)+IF(AG14="",1,0)+IF(W14="",1,0)+IF(AE14="",1,0)</x:f>
        <x:v>0</x:v>
      </x:c>
      <x:c r="AS14" s="9" t="n">
        <x:f>IF(Q14="",1,0)+IF(I14="",1,0)+IF(Y14="",1,0)+IF(AI14="",1,0)+IF(AG14="",1,0)+IF(X14="",1,0)+IF(AE14="",1,0)</x:f>
        <x:v>0</x:v>
      </x:c>
      <x:c r="AT14" s="9" t="n">
        <x:v>22</x:v>
      </x:c>
      <x:c r="AU14" s="9" t="n">
        <x:v>28</x:v>
      </x:c>
      <x:c r="AV14" s="9" t="str">
        <x:v>Not proposed</x:v>
      </x:c>
      <x:c r="AW14" s="9" t="str"/>
    </x:row>
    <x:row r="15">
      <x:c r="A15" s="9" t="str">
        <x:v>Derby</x:v>
      </x:c>
      <x:c r="B15" s="9" t="str">
        <x:v>England</x:v>
      </x:c>
      <x:c r="C15" s="9" t="str">
        <x:v>Derby</x:v>
      </x:c>
      <x:c r="D15" s="12" t="n">
        <x:v>52.924693</x:v>
      </x:c>
      <x:c r="E15" s="12" t="n">
        <x:v>-1.478054</x:v>
      </x:c>
      <x:c r="F15" s="9" t="n">
        <x:v>4711</x:v>
      </x:c>
      <x:c r="G15" s="9" t="n">
        <x:v>1581</x:v>
      </x:c>
      <x:c r="H15" s="9" t="str">
        <x:v>data.police.uk street-crime records within 1 mile of Postcodes.io place centroid</x:v>
      </x:c>
      <x:c r="I15" s="9" t="n">
        <x:v>2</x:v>
      </x:c>
      <x:c r="J15" s="9" t="str">
        <x:v>Medium</x:v>
      </x:c>
      <x:c r="K15" s="10" t="n">
        <x:v>125000</x:v>
      </x:c>
      <x:c r="L15" s="9" t="n">
        <x:v>532</x:v>
      </x:c>
      <x:c r="M15" s="9" t="str">
        <x:v>High</x:v>
      </x:c>
      <x:c r="N15" s="9" t="n">
        <x:f>IF(K15&lt;='Methodology'!$B$15,5,IF(K15&gt;='Methodology'!$B$16,1,3))</x:f>
        <x:v>3</x:v>
      </x:c>
      <x:c r="O15" s="10" t="n">
        <x:v>606</x:v>
      </x:c>
      <x:c r="P15" s="9" t="str">
        <x:v>Medium</x:v>
      </x:c>
      <x:c r="Q15" s="9" t="n">
        <x:f>IF(O15&lt;='Methodology'!$B$17,5,IF(O15&gt;='Methodology'!$B$18,1,3))</x:f>
        <x:v>3</x:v>
      </x:c>
      <x:c r="R15" s="9" t="n">
        <x:v>73</x:v>
      </x:c>
      <x:c r="S15" s="9" t="n">
        <x:v>214</x:v>
      </x:c>
      <x:c r="T15" s="9" t="str">
        <x:v>Unclear</x:v>
      </x:c>
      <x:c r="U15" s="9" t="n">
        <x:v>3</x:v>
      </x:c>
      <x:c r="V15" s="9" t="n">
        <x:v>5</x:v>
      </x:c>
      <x:c r="W15" s="13" t="n">
        <x:f>MAX(1,MIN(5,U15+IF(T15="Known",0.5,IF(T15="Likely",0,-0.5))))</x:f>
        <x:v>2.5</x:v>
      </x:c>
      <x:c r="X15" s="13" t="n">
        <x:f>MAX(1,MIN(5,V15+IF(T15="Known",0.5,IF(T15="Likely",0,-0.5))))</x:f>
        <x:v>4.5</x:v>
      </x:c>
      <x:c r="Y15" s="9" t="n">
        <x:v>4</x:v>
      </x:c>
      <x:c r="Z15" s="9" t="str">
        <x:v>Medium</x:v>
      </x:c>
      <x:c r="AA15" s="9" t="n">
        <x:v>90</x:v>
      </x:c>
      <x:c r="AB15" s="9" t="n">
        <x:v>0</x:v>
      </x:c>
      <x:c r="AC15" s="9" t="n">
        <x:v>35</x:v>
      </x:c>
      <x:c r="AD15" s="9" t="n">
        <x:v>0</x:v>
      </x:c>
      <x:c r="AE15" s="9" t="n">
        <x:v>5</x:v>
      </x:c>
      <x:c r="AF15" s="9" t="str">
        <x:v>Medium</x:v>
      </x:c>
      <x:c r="AG15" s="9" t="n">
        <x:v>2</x:v>
      </x:c>
      <x:c r="AH15" s="9" t="str">
        <x:v>Medium</x:v>
      </x:c>
      <x:c r="AI15" s="9" t="n">
        <x:v>3</x:v>
      </x:c>
      <x:c r="AJ15" s="9" t="str">
        <x:v>Low</x:v>
      </x:c>
      <x:c r="AK15" s="13" t="n">
        <x:f>(N15*15+I15*15+Y15*15+AI15*15+AG15*15+W15*15+AE15*10)*20/(15*COUNT(N15,I15,Y15,AI15,AG15,W15)+10*COUNT(AE15))</x:f>
        <x:v>59.5</x:v>
      </x:c>
      <x:c r="AL15" s="13" t="n">
        <x:f>(Q15*15+I15*15+Y15*15+AI15*15+AG15*15+X15*15+AE15*10)*20/(15*COUNT(Q15,I15,Y15,AI15,AG15,X15)+10*COUNT(AE15))</x:f>
        <x:v>65.5</x:v>
      </x:c>
      <x:c r="AM15" s="13" t="n">
        <x:f>(N15+I15+Y15+AI15+AG15)*15/COUNT(N15,I15,Y15,AI15,AG15)</x:f>
        <x:v>42</x:v>
      </x:c>
      <x:c r="AN15" s="13" t="n">
        <x:f>(Q15+I15+Y15+AI15+AG15)*15/COUNT(Q15,I15,Y15,AI15,AG15)</x:f>
        <x:v>42</x:v>
      </x:c>
      <x:c r="AO15" s="9" t="n">
        <x:f>IF(I15=1,1,0)+IF(Y15=1,1,0)+IF(AI15=1,1,0)+IF(AG15=1,1,0)</x:f>
        <x:v>0</x:v>
      </x:c>
      <x:c r="AP15" s="14" t="n">
        <x:f>(IF(M15="High",3,IF(M15="Medium",2,1))+IF(J15="High",3,IF(J15="Medium",2,1))+IF(Z15="High",3,IF(Z15="Medium",2,1))+IF(AF15="High",3,IF(AF15="Medium",2,1))+IF(AH15="High",3,IF(AH15="Medium",2,1))+IF(AJ15="High",3,IF(AJ15="Medium",2,1))+2)/7</x:f>
        <x:v>2</x:v>
      </x:c>
      <x:c r="AQ15" s="14" t="n">
        <x:f>(IF(P15="High",3,IF(P15="Medium",2,1))+IF(J15="High",3,IF(J15="Medium",2,1))+IF(Z15="High",3,IF(Z15="Medium",2,1))+IF(AF15="High",3,IF(AF15="Medium",2,1))+IF(AH15="High",3,IF(AH15="Medium",2,1))+IF(AJ15="High",3,IF(AJ15="Medium",2,1))+2)/7</x:f>
        <x:v>1.8571428571428572</x:v>
      </x:c>
      <x:c r="AR15" s="9" t="n">
        <x:f>IF(N15="",1,0)+IF(I15="",1,0)+IF(Y15="",1,0)+IF(AI15="",1,0)+IF(AG15="",1,0)+IF(W15="",1,0)+IF(AE15="",1,0)</x:f>
        <x:v>0</x:v>
      </x:c>
      <x:c r="AS15" s="9" t="n">
        <x:f>IF(Q15="",1,0)+IF(I15="",1,0)+IF(Y15="",1,0)+IF(AI15="",1,0)+IF(AG15="",1,0)+IF(X15="",1,0)+IF(AE15="",1,0)</x:f>
        <x:v>0</x:v>
      </x:c>
      <x:c r="AT15" s="9" t="n">
        <x:v>46</x:v>
      </x:c>
      <x:c r="AU15" s="9" t="n">
        <x:v>27</x:v>
      </x:c>
      <x:c r="AV15" s="9" t="str">
        <x:v>Not proposed</x:v>
      </x:c>
      <x:c r="AW15" s="9" t="str"/>
    </x:row>
    <x:row r="16">
      <x:c r="A16" s="9" t="str">
        <x:v>Doncaster</x:v>
      </x:c>
      <x:c r="B16" s="9" t="str">
        <x:v>England</x:v>
      </x:c>
      <x:c r="C16" s="9" t="str">
        <x:v>Doncaster</x:v>
      </x:c>
      <x:c r="D16" s="12" t="n">
        <x:v>53.522723</x:v>
      </x:c>
      <x:c r="E16" s="12" t="n">
        <x:v>-1.132352</x:v>
      </x:c>
      <x:c r="F16" s="9" t="n">
        <x:v>3126</x:v>
      </x:c>
      <x:c r="G16" s="9" t="n">
        <x:v>1193</x:v>
      </x:c>
      <x:c r="H16" s="9" t="str">
        <x:v>data.police.uk street-crime records within 1 mile of Postcodes.io place centroid</x:v>
      </x:c>
      <x:c r="I16" s="9" t="n">
        <x:v>3</x:v>
      </x:c>
      <x:c r="J16" s="9" t="str">
        <x:v>Medium</x:v>
      </x:c>
      <x:c r="K16" s="10" t="n">
        <x:v>108000</x:v>
      </x:c>
      <x:c r="L16" s="9" t="n">
        <x:v>281</x:v>
      </x:c>
      <x:c r="M16" s="9" t="str">
        <x:v>High</x:v>
      </x:c>
      <x:c r="N16" s="9" t="n">
        <x:f>IF(K16&lt;='Methodology'!$B$15,5,IF(K16&gt;='Methodology'!$B$16,1,3))</x:f>
        <x:v>5</x:v>
      </x:c>
      <x:c r="O16" s="10" t="n">
        <x:v>491</x:v>
      </x:c>
      <x:c r="P16" s="9" t="str">
        <x:v>Medium</x:v>
      </x:c>
      <x:c r="Q16" s="9" t="n">
        <x:f>IF(O16&lt;='Methodology'!$B$17,5,IF(O16&gt;='Methodology'!$B$18,1,3))</x:f>
        <x:v>5</x:v>
      </x:c>
      <x:c r="R16" s="9" t="n">
        <x:v>25</x:v>
      </x:c>
      <x:c r="S16" s="9" t="n">
        <x:v>27</x:v>
      </x:c>
      <x:c r="T16" s="9" t="str">
        <x:v>Unclear</x:v>
      </x:c>
      <x:c r="U16" s="9" t="n">
        <x:v>3</x:v>
      </x:c>
      <x:c r="V16" s="9" t="n">
        <x:v>3</x:v>
      </x:c>
      <x:c r="W16" s="13" t="n">
        <x:f>MAX(1,MIN(5,U16+IF(T16="Known",0.5,IF(T16="Likely",0,-0.5))))</x:f>
        <x:v>2.5</x:v>
      </x:c>
      <x:c r="X16" s="13" t="n">
        <x:f>MAX(1,MIN(5,V16+IF(T16="Known",0.5,IF(T16="Likely",0,-0.5))))</x:f>
        <x:v>2.5</x:v>
      </x:c>
      <x:c r="Y16" s="9" t="n">
        <x:v>4</x:v>
      </x:c>
      <x:c r="Z16" s="9" t="str">
        <x:v>High</x:v>
      </x:c>
      <x:c r="AA16" s="9" t="n">
        <x:v>100</x:v>
      </x:c>
      <x:c r="AB16" s="9" t="n">
        <x:v>0</x:v>
      </x:c>
      <x:c r="AC16" s="9" t="n">
        <x:v>95</x:v>
      </x:c>
      <x:c r="AD16" s="9" t="n">
        <x:v>0</x:v>
      </x:c>
      <x:c r="AE16" s="9" t="n">
        <x:v>5</x:v>
      </x:c>
      <x:c r="AF16" s="9" t="str">
        <x:v>Medium</x:v>
      </x:c>
      <x:c r="AG16" s="9" t="n">
        <x:v>2</x:v>
      </x:c>
      <x:c r="AH16" s="9" t="str">
        <x:v>Medium</x:v>
      </x:c>
      <x:c r="AI16" s="9" t="n">
        <x:v>2</x:v>
      </x:c>
      <x:c r="AJ16" s="9" t="str">
        <x:v>Low</x:v>
      </x:c>
      <x:c r="AK16" s="13" t="n">
        <x:f>(N16*15+I16*15+Y16*15+AI16*15+AG16*15+W16*15+AE16*10)*20/(15*COUNT(N16,I16,Y16,AI16,AG16,W16)+10*COUNT(AE16))</x:f>
        <x:v>65.5</x:v>
      </x:c>
      <x:c r="AL16" s="13" t="n">
        <x:f>(Q16*15+I16*15+Y16*15+AI16*15+AG16*15+X16*15+AE16*10)*20/(15*COUNT(Q16,I16,Y16,AI16,AG16,X16)+10*COUNT(AE16))</x:f>
        <x:v>65.5</x:v>
      </x:c>
      <x:c r="AM16" s="13" t="n">
        <x:f>(N16+I16+Y16+AI16+AG16)*15/COUNT(N16,I16,Y16,AI16,AG16)</x:f>
        <x:v>48</x:v>
      </x:c>
      <x:c r="AN16" s="13" t="n">
        <x:f>(Q16+I16+Y16+AI16+AG16)*15/COUNT(Q16,I16,Y16,AI16,AG16)</x:f>
        <x:v>48</x:v>
      </x:c>
      <x:c r="AO16" s="9" t="n">
        <x:f>IF(I16=1,1,0)+IF(Y16=1,1,0)+IF(AI16=1,1,0)+IF(AG16=1,1,0)</x:f>
        <x:v>0</x:v>
      </x:c>
      <x:c r="AP16" s="14" t="n">
        <x:f>(IF(M16="High",3,IF(M16="Medium",2,1))+IF(J16="High",3,IF(J16="Medium",2,1))+IF(Z16="High",3,IF(Z16="Medium",2,1))+IF(AF16="High",3,IF(AF16="Medium",2,1))+IF(AH16="High",3,IF(AH16="Medium",2,1))+IF(AJ16="High",3,IF(AJ16="Medium",2,1))+2)/7</x:f>
        <x:v>2.142857142857143</x:v>
      </x:c>
      <x:c r="AQ16" s="14" t="n">
        <x:f>(IF(P16="High",3,IF(P16="Medium",2,1))+IF(J16="High",3,IF(J16="Medium",2,1))+IF(Z16="High",3,IF(Z16="Medium",2,1))+IF(AF16="High",3,IF(AF16="Medium",2,1))+IF(AH16="High",3,IF(AH16="Medium",2,1))+IF(AJ16="High",3,IF(AJ16="Medium",2,1))+2)/7</x:f>
        <x:v>2</x:v>
      </x:c>
      <x:c r="AR16" s="9" t="n">
        <x:f>IF(N16="",1,0)+IF(I16="",1,0)+IF(Y16="",1,0)+IF(AI16="",1,0)+IF(AG16="",1,0)+IF(W16="",1,0)+IF(AE16="",1,0)</x:f>
        <x:v>0</x:v>
      </x:c>
      <x:c r="AS16" s="9" t="n">
        <x:f>IF(Q16="",1,0)+IF(I16="",1,0)+IF(Y16="",1,0)+IF(AI16="",1,0)+IF(AG16="",1,0)+IF(X16="",1,0)+IF(AE16="",1,0)</x:f>
        <x:v>0</x:v>
      </x:c>
      <x:c r="AT16" s="9" t="n">
        <x:v>17</x:v>
      </x:c>
      <x:c r="AU16" s="9" t="n">
        <x:v>20</x:v>
      </x:c>
      <x:c r="AV16" s="9" t="str">
        <x:v>Not proposed</x:v>
      </x:c>
      <x:c r="AW16" s="9" t="str"/>
    </x:row>
    <x:row r="17">
      <x:c r="A17" s="9" t="str">
        <x:v>Gateshead</x:v>
      </x:c>
      <x:c r="B17" s="9" t="str">
        <x:v>England</x:v>
      </x:c>
      <x:c r="C17" s="9" t="str">
        <x:v>Gateshead</x:v>
      </x:c>
      <x:c r="D17" s="12" t="n">
        <x:v>54.959914</x:v>
      </x:c>
      <x:c r="E17" s="12" t="n">
        <x:v>-1.604945</x:v>
      </x:c>
      <x:c r="F17" s="9" t="n">
        <x:v>3208</x:v>
      </x:c>
      <x:c r="G17" s="9" t="n">
        <x:v>2044</x:v>
      </x:c>
      <x:c r="H17" s="9" t="str">
        <x:v>data.police.uk street-crime records within 1 mile of Postcodes.io place centroid</x:v>
      </x:c>
      <x:c r="I17" s="9" t="n">
        <x:v>2</x:v>
      </x:c>
      <x:c r="J17" s="9" t="str">
        <x:v>Medium</x:v>
      </x:c>
      <x:c r="K17" s="10" t="n">
        <x:v>101000</x:v>
      </x:c>
      <x:c r="L17" s="9" t="n">
        <x:v>597</x:v>
      </x:c>
      <x:c r="M17" s="9" t="str">
        <x:v>High</x:v>
      </x:c>
      <x:c r="N17" s="9" t="n">
        <x:f>IF(K17&lt;='Methodology'!$B$15,5,IF(K17&gt;='Methodology'!$B$16,1,3))</x:f>
        <x:v>5</x:v>
      </x:c>
      <x:c r="O17" s="10" t="n">
        <x:v>587</x:v>
      </x:c>
      <x:c r="P17" s="9" t="str">
        <x:v>Medium</x:v>
      </x:c>
      <x:c r="Q17" s="9" t="n">
        <x:f>IF(O17&lt;='Methodology'!$B$17,5,IF(O17&gt;='Methodology'!$B$18,1,3))</x:f>
        <x:v>3</x:v>
      </x:c>
      <x:c r="R17" s="9" t="n">
        <x:v>32</x:v>
      </x:c>
      <x:c r="S17" s="9" t="n">
        <x:v>27</x:v>
      </x:c>
      <x:c r="T17" s="9" t="str">
        <x:v>Unclear</x:v>
      </x:c>
      <x:c r="U17" s="9" t="n">
        <x:v>3</x:v>
      </x:c>
      <x:c r="V17" s="9" t="n">
        <x:v>3</x:v>
      </x:c>
      <x:c r="W17" s="13" t="n">
        <x:f>MAX(1,MIN(5,U17+IF(T17="Known",0.5,IF(T17="Likely",0,-0.5))))</x:f>
        <x:v>2.5</x:v>
      </x:c>
      <x:c r="X17" s="13" t="n">
        <x:f>MAX(1,MIN(5,V17+IF(T17="Known",0.5,IF(T17="Likely",0,-0.5))))</x:f>
        <x:v>2.5</x:v>
      </x:c>
      <x:c r="Y17" s="9" t="n">
        <x:v>5</x:v>
      </x:c>
      <x:c r="Z17" s="9" t="str">
        <x:v>High</x:v>
      </x:c>
      <x:c r="AA17" s="9" t="n">
        <x:v>180</x:v>
      </x:c>
      <x:c r="AB17" s="9" t="n">
        <x:v>0</x:v>
      </x:c>
      <x:c r="AC17" s="9" t="n">
        <x:v>190</x:v>
      </x:c>
      <x:c r="AD17" s="9" t="n">
        <x:v>0</x:v>
      </x:c>
      <x:c r="AE17" s="9" t="n">
        <x:v>3</x:v>
      </x:c>
      <x:c r="AF17" s="9" t="str">
        <x:v>Low</x:v>
      </x:c>
      <x:c r="AG17" s="9" t="n">
        <x:v>2</x:v>
      </x:c>
      <x:c r="AH17" s="9" t="str">
        <x:v>Medium</x:v>
      </x:c>
      <x:c r="AI17" s="9" t="n">
        <x:v>3</x:v>
      </x:c>
      <x:c r="AJ17" s="9" t="str">
        <x:v>Low</x:v>
      </x:c>
      <x:c r="AK17" s="13" t="n">
        <x:f>(N17*15+I17*15+Y17*15+AI17*15+AG17*15+W17*15+AE17*10)*20/(15*COUNT(N17,I17,Y17,AI17,AG17,W17)+10*COUNT(AE17))</x:f>
        <x:v>64.5</x:v>
      </x:c>
      <x:c r="AL17" s="13" t="n">
        <x:f>(Q17*15+I17*15+Y17*15+AI17*15+AG17*15+X17*15+AE17*10)*20/(15*COUNT(Q17,I17,Y17,AI17,AG17,X17)+10*COUNT(AE17))</x:f>
        <x:v>58.5</x:v>
      </x:c>
      <x:c r="AM17" s="13" t="n">
        <x:f>(N17+I17+Y17+AI17+AG17)*15/COUNT(N17,I17,Y17,AI17,AG17)</x:f>
        <x:v>51</x:v>
      </x:c>
      <x:c r="AN17" s="13" t="n">
        <x:f>(Q17+I17+Y17+AI17+AG17)*15/COUNT(Q17,I17,Y17,AI17,AG17)</x:f>
        <x:v>45</x:v>
      </x:c>
      <x:c r="AO17" s="9" t="n">
        <x:f>IF(I17=1,1,0)+IF(Y17=1,1,0)+IF(AI17=1,1,0)+IF(AG17=1,1,0)</x:f>
        <x:v>0</x:v>
      </x:c>
      <x:c r="AP17" s="14" t="n">
        <x:f>(IF(M17="High",3,IF(M17="Medium",2,1))+IF(J17="High",3,IF(J17="Medium",2,1))+IF(Z17="High",3,IF(Z17="Medium",2,1))+IF(AF17="High",3,IF(AF17="Medium",2,1))+IF(AH17="High",3,IF(AH17="Medium",2,1))+IF(AJ17="High",3,IF(AJ17="Medium",2,1))+2)/7</x:f>
        <x:v>2</x:v>
      </x:c>
      <x:c r="AQ17" s="14" t="n">
        <x:f>(IF(P17="High",3,IF(P17="Medium",2,1))+IF(J17="High",3,IF(J17="Medium",2,1))+IF(Z17="High",3,IF(Z17="Medium",2,1))+IF(AF17="High",3,IF(AF17="Medium",2,1))+IF(AH17="High",3,IF(AH17="Medium",2,1))+IF(AJ17="High",3,IF(AJ17="Medium",2,1))+2)/7</x:f>
        <x:v>1.8571428571428572</x:v>
      </x:c>
      <x:c r="AR17" s="9" t="n">
        <x:f>IF(N17="",1,0)+IF(I17="",1,0)+IF(Y17="",1,0)+IF(AI17="",1,0)+IF(AG17="",1,0)+IF(W17="",1,0)+IF(AE17="",1,0)</x:f>
        <x:v>0</x:v>
      </x:c>
      <x:c r="AS17" s="9" t="n">
        <x:f>IF(Q17="",1,0)+IF(I17="",1,0)+IF(Y17="",1,0)+IF(AI17="",1,0)+IF(AG17="",1,0)+IF(X17="",1,0)+IF(AE17="",1,0)</x:f>
        <x:v>0</x:v>
      </x:c>
      <x:c r="AT17" s="9" t="n">
        <x:v>25</x:v>
      </x:c>
      <x:c r="AU17" s="9" t="n">
        <x:v>50</x:v>
      </x:c>
      <x:c r="AV17" s="9" t="str">
        <x:v>Not proposed</x:v>
      </x:c>
      <x:c r="AW17" s="9" t="str"/>
    </x:row>
    <x:row r="18">
      <x:c r="A18" s="9" t="str">
        <x:v>Gloucester</x:v>
      </x:c>
      <x:c r="B18" s="9" t="str">
        <x:v>England</x:v>
      </x:c>
      <x:c r="C18" s="9" t="str">
        <x:v>Gloucester</x:v>
      </x:c>
      <x:c r="D18" s="12" t="n">
        <x:v>51.86455</x:v>
      </x:c>
      <x:c r="E18" s="12" t="n">
        <x:v>-2.246934</x:v>
      </x:c>
      <x:c r="F18" s="9" t="n">
        <x:v>1819</x:v>
      </x:c>
      <x:c r="G18" s="9" t="n">
        <x:v>941</x:v>
      </x:c>
      <x:c r="H18" s="9" t="str">
        <x:v>data.police.uk street-crime records within 1 mile of Postcodes.io place centroid</x:v>
      </x:c>
      <x:c r="I18" s="9" t="n">
        <x:v>4</x:v>
      </x:c>
      <x:c r="J18" s="9" t="str">
        <x:v>Medium</x:v>
      </x:c>
      <x:c r="K18" s="10" t="n">
        <x:v>145000</x:v>
      </x:c>
      <x:c r="L18" s="9" t="n">
        <x:v>681</x:v>
      </x:c>
      <x:c r="M18" s="9" t="str">
        <x:v>High</x:v>
      </x:c>
      <x:c r="N18" s="9" t="n">
        <x:f>IF(K18&lt;='Methodology'!$B$15,5,IF(K18&gt;='Methodology'!$B$16,1,3))</x:f>
        <x:v>1</x:v>
      </x:c>
      <x:c r="O18" s="10" t="n">
        <x:v>743</x:v>
      </x:c>
      <x:c r="P18" s="9" t="str">
        <x:v>Medium</x:v>
      </x:c>
      <x:c r="Q18" s="9" t="n">
        <x:f>IF(O18&lt;='Methodology'!$B$17,5,IF(O18&gt;='Methodology'!$B$18,1,3))</x:f>
        <x:v>1</x:v>
      </x:c>
      <x:c r="R18" s="9" t="n">
        <x:v>74</x:v>
      </x:c>
      <x:c r="S18" s="9" t="n">
        <x:v>65</x:v>
      </x:c>
      <x:c r="T18" s="9" t="str">
        <x:v>Unclear</x:v>
      </x:c>
      <x:c r="U18" s="9" t="n">
        <x:v>3</x:v>
      </x:c>
      <x:c r="V18" s="9" t="n">
        <x:v>3</x:v>
      </x:c>
      <x:c r="W18" s="13" t="n">
        <x:f>MAX(1,MIN(5,U18+IF(T18="Known",0.5,IF(T18="Likely",0,-0.5))))</x:f>
        <x:v>2.5</x:v>
      </x:c>
      <x:c r="X18" s="13" t="n">
        <x:f>MAX(1,MIN(5,V18+IF(T18="Known",0.5,IF(T18="Likely",0,-0.5))))</x:f>
        <x:v>2.5</x:v>
      </x:c>
      <x:c r="Y18" s="9" t="n">
        <x:v>4</x:v>
      </x:c>
      <x:c r="Z18" s="9" t="str">
        <x:v>Medium</x:v>
      </x:c>
      <x:c r="AA18" s="9" t="n">
        <x:v>105</x:v>
      </x:c>
      <x:c r="AB18" s="9" t="n">
        <x:v>0</x:v>
      </x:c>
      <x:c r="AC18" s="9" t="n">
        <x:v>55</x:v>
      </x:c>
      <x:c r="AD18" s="9" t="n">
        <x:v>0</x:v>
      </x:c>
      <x:c r="AE18" s="9" t="n">
        <x:v>5</x:v>
      </x:c>
      <x:c r="AF18" s="9" t="str">
        <x:v>Medium</x:v>
      </x:c>
      <x:c r="AG18" s="9" t="n">
        <x:v>3</x:v>
      </x:c>
      <x:c r="AH18" s="9" t="str">
        <x:v>Medium</x:v>
      </x:c>
      <x:c r="AI18" s="9" t="n">
        <x:v>4</x:v>
      </x:c>
      <x:c r="AJ18" s="9" t="str">
        <x:v>Medium</x:v>
      </x:c>
      <x:c r="AK18" s="13" t="n">
        <x:f>(N18*15+I18*15+Y18*15+AI18*15+AG18*15+W18*15+AE18*10)*20/(15*COUNT(N18,I18,Y18,AI18,AG18,W18)+10*COUNT(AE18))</x:f>
        <x:v>65.5</x:v>
      </x:c>
      <x:c r="AL18" s="13" t="n">
        <x:f>(Q18*15+I18*15+Y18*15+AI18*15+AG18*15+X18*15+AE18*10)*20/(15*COUNT(Q18,I18,Y18,AI18,AG18,X18)+10*COUNT(AE18))</x:f>
        <x:v>65.5</x:v>
      </x:c>
      <x:c r="AM18" s="13" t="n">
        <x:f>(N18+I18+Y18+AI18+AG18)*15/COUNT(N18,I18,Y18,AI18,AG18)</x:f>
        <x:v>48</x:v>
      </x:c>
      <x:c r="AN18" s="13" t="n">
        <x:f>(Q18+I18+Y18+AI18+AG18)*15/COUNT(Q18,I18,Y18,AI18,AG18)</x:f>
        <x:v>48</x:v>
      </x:c>
      <x:c r="AO18" s="9" t="n">
        <x:f>IF(I18=1,1,0)+IF(Y18=1,1,0)+IF(AI18=1,1,0)+IF(AG18=1,1,0)</x:f>
        <x:v>0</x:v>
      </x:c>
      <x:c r="AP18" s="14" t="n">
        <x:f>(IF(M18="High",3,IF(M18="Medium",2,1))+IF(J18="High",3,IF(J18="Medium",2,1))+IF(Z18="High",3,IF(Z18="Medium",2,1))+IF(AF18="High",3,IF(AF18="Medium",2,1))+IF(AH18="High",3,IF(AH18="Medium",2,1))+IF(AJ18="High",3,IF(AJ18="Medium",2,1))+2)/7</x:f>
        <x:v>2.142857142857143</x:v>
      </x:c>
      <x:c r="AQ18" s="14" t="n">
        <x:f>(IF(P18="High",3,IF(P18="Medium",2,1))+IF(J18="High",3,IF(J18="Medium",2,1))+IF(Z18="High",3,IF(Z18="Medium",2,1))+IF(AF18="High",3,IF(AF18="Medium",2,1))+IF(AH18="High",3,IF(AH18="Medium",2,1))+IF(AJ18="High",3,IF(AJ18="Medium",2,1))+2)/7</x:f>
        <x:v>2</x:v>
      </x:c>
      <x:c r="AR18" s="9" t="n">
        <x:f>IF(N18="",1,0)+IF(I18="",1,0)+IF(Y18="",1,0)+IF(AI18="",1,0)+IF(AG18="",1,0)+IF(W18="",1,0)+IF(AE18="",1,0)</x:f>
        <x:v>0</x:v>
      </x:c>
      <x:c r="AS18" s="9" t="n">
        <x:f>IF(Q18="",1,0)+IF(I18="",1,0)+IF(Y18="",1,0)+IF(AI18="",1,0)+IF(AG18="",1,0)+IF(X18="",1,0)+IF(AE18="",1,0)</x:f>
        <x:v>0</x:v>
      </x:c>
      <x:c r="AT18" s="9" t="n">
        <x:v>18</x:v>
      </x:c>
      <x:c r="AU18" s="9" t="n">
        <x:v>21</x:v>
      </x:c>
      <x:c r="AV18" s="9" t="str">
        <x:v>Not proposed</x:v>
      </x:c>
      <x:c r="AW18" s="9" t="str"/>
    </x:row>
    <x:row r="19">
      <x:c r="A19" s="9" t="str">
        <x:v>Halifax</x:v>
      </x:c>
      <x:c r="B19" s="9" t="str">
        <x:v>England</x:v>
      </x:c>
      <x:c r="C19" s="9" t="str">
        <x:v>Calderdale</x:v>
      </x:c>
      <x:c r="D19" s="12" t="n">
        <x:v>53.722827</x:v>
      </x:c>
      <x:c r="E19" s="12" t="n">
        <x:v>-1.860176</x:v>
      </x:c>
      <x:c r="F19" s="9" t="n">
        <x:v>2608</x:v>
      </x:c>
      <x:c r="G19" s="9" t="n">
        <x:v>618</x:v>
      </x:c>
      <x:c r="H19" s="9" t="str">
        <x:v>data.police.uk street-crime records within 1 mile of Postcodes.io place centroid</x:v>
      </x:c>
      <x:c r="I19" s="9" t="n">
        <x:v>4</x:v>
      </x:c>
      <x:c r="J19" s="9" t="str">
        <x:v>Medium</x:v>
      </x:c>
      <x:c r="K19" s="10" t="n">
        <x:v>127500</x:v>
      </x:c>
      <x:c r="L19" s="9" t="n">
        <x:v>216</x:v>
      </x:c>
      <x:c r="M19" s="9" t="str">
        <x:v>High</x:v>
      </x:c>
      <x:c r="N19" s="9" t="n">
        <x:f>IF(K19&lt;='Methodology'!$B$15,5,IF(K19&gt;='Methodology'!$B$16,1,3))</x:f>
        <x:v>3</x:v>
      </x:c>
      <x:c r="O19" s="10" t="n">
        <x:v>546</x:v>
      </x:c>
      <x:c r="P19" s="9" t="str">
        <x:v>Medium</x:v>
      </x:c>
      <x:c r="Q19" s="9" t="n">
        <x:f>IF(O19&lt;='Methodology'!$B$17,5,IF(O19&gt;='Methodology'!$B$18,1,3))</x:f>
        <x:v>5</x:v>
      </x:c>
      <x:c r="R19" s="9" t="n">
        <x:v>34</x:v>
      </x:c>
      <x:c r="S19" s="9" t="n">
        <x:v>49</x:v>
      </x:c>
      <x:c r="T19" s="9" t="str">
        <x:v>Unclear</x:v>
      </x:c>
      <x:c r="U19" s="9" t="n">
        <x:v>3</x:v>
      </x:c>
      <x:c r="V19" s="9" t="n">
        <x:v>3</x:v>
      </x:c>
      <x:c r="W19" s="13" t="n">
        <x:f>MAX(1,MIN(5,U19+IF(T19="Known",0.5,IF(T19="Likely",0,-0.5))))</x:f>
        <x:v>2.5</x:v>
      </x:c>
      <x:c r="X19" s="13" t="n">
        <x:f>MAX(1,MIN(5,V19+IF(T19="Known",0.5,IF(T19="Likely",0,-0.5))))</x:f>
        <x:v>2.5</x:v>
      </x:c>
      <x:c r="Y19" s="9" t="n">
        <x:v>4</x:v>
      </x:c>
      <x:c r="Z19" s="9" t="str">
        <x:v>High</x:v>
      </x:c>
      <x:c r="AA19" s="9" t="n">
        <x:v>180</x:v>
      </x:c>
      <x:c r="AB19" s="9" t="n">
        <x:v>1</x:v>
      </x:c>
      <x:c r="AC19" s="9" t="n">
        <x:v>145</x:v>
      </x:c>
      <x:c r="AD19" s="9" t="n">
        <x:v>1</x:v>
      </x:c>
      <x:c r="AE19" s="9" t="n">
        <x:v>3</x:v>
      </x:c>
      <x:c r="AF19" s="9" t="str">
        <x:v>Medium</x:v>
      </x:c>
      <x:c r="AG19" s="9" t="n">
        <x:v>3</x:v>
      </x:c>
      <x:c r="AH19" s="9" t="str">
        <x:v>Medium</x:v>
      </x:c>
      <x:c r="AI19" s="9" t="n">
        <x:v>3</x:v>
      </x:c>
      <x:c r="AJ19" s="9" t="str">
        <x:v>Low</x:v>
      </x:c>
      <x:c r="AK19" s="13" t="n">
        <x:f>(N19*15+I19*15+Y19*15+AI19*15+AG19*15+W19*15+AE19*10)*20/(15*COUNT(N19,I19,Y19,AI19,AG19,W19)+10*COUNT(AE19))</x:f>
        <x:v>64.5</x:v>
      </x:c>
      <x:c r="AL19" s="13" t="n">
        <x:f>(Q19*15+I19*15+Y19*15+AI19*15+AG19*15+X19*15+AE19*10)*20/(15*COUNT(Q19,I19,Y19,AI19,AG19,X19)+10*COUNT(AE19))</x:f>
        <x:v>70.5</x:v>
      </x:c>
      <x:c r="AM19" s="13" t="n">
        <x:f>(N19+I19+Y19+AI19+AG19)*15/COUNT(N19,I19,Y19,AI19,AG19)</x:f>
        <x:v>51</x:v>
      </x:c>
      <x:c r="AN19" s="13" t="n">
        <x:f>(Q19+I19+Y19+AI19+AG19)*15/COUNT(Q19,I19,Y19,AI19,AG19)</x:f>
        <x:v>57</x:v>
      </x:c>
      <x:c r="AO19" s="9" t="n">
        <x:f>IF(I19=1,1,0)+IF(Y19=1,1,0)+IF(AI19=1,1,0)+IF(AG19=1,1,0)</x:f>
        <x:v>0</x:v>
      </x:c>
      <x:c r="AP19" s="14" t="n">
        <x:f>(IF(M19="High",3,IF(M19="Medium",2,1))+IF(J19="High",3,IF(J19="Medium",2,1))+IF(Z19="High",3,IF(Z19="Medium",2,1))+IF(AF19="High",3,IF(AF19="Medium",2,1))+IF(AH19="High",3,IF(AH19="Medium",2,1))+IF(AJ19="High",3,IF(AJ19="Medium",2,1))+2)/7</x:f>
        <x:v>2.142857142857143</x:v>
      </x:c>
      <x:c r="AQ19" s="14" t="n">
        <x:f>(IF(P19="High",3,IF(P19="Medium",2,1))+IF(J19="High",3,IF(J19="Medium",2,1))+IF(Z19="High",3,IF(Z19="Medium",2,1))+IF(AF19="High",3,IF(AF19="Medium",2,1))+IF(AH19="High",3,IF(AH19="Medium",2,1))+IF(AJ19="High",3,IF(AJ19="Medium",2,1))+2)/7</x:f>
        <x:v>2</x:v>
      </x:c>
      <x:c r="AR19" s="9" t="n">
        <x:f>IF(N19="",1,0)+IF(I19="",1,0)+IF(Y19="",1,0)+IF(AI19="",1,0)+IF(AG19="",1,0)+IF(W19="",1,0)+IF(AE19="",1,0)</x:f>
        <x:v>0</x:v>
      </x:c>
      <x:c r="AS19" s="9" t="n">
        <x:f>IF(Q19="",1,0)+IF(I19="",1,0)+IF(Y19="",1,0)+IF(AI19="",1,0)+IF(AG19="",1,0)+IF(X19="",1,0)+IF(AE19="",1,0)</x:f>
        <x:v>0</x:v>
      </x:c>
      <x:c r="AT19" s="9" t="n">
        <x:v>24</x:v>
      </x:c>
      <x:c r="AU19" s="9" t="n">
        <x:v>5</x:v>
      </x:c>
      <x:c r="AV19" s="9" t="str">
        <x:v>Proposed</x:v>
      </x:c>
      <x:c r="AW19" s="9" t="str">
        <x:v>Rent</x:v>
      </x:c>
    </x:row>
    <x:row r="20">
      <x:c r="A20" s="9" t="str">
        <x:v>Hartlepool</x:v>
      </x:c>
      <x:c r="B20" s="9" t="str">
        <x:v>England</x:v>
      </x:c>
      <x:c r="C20" s="9" t="str">
        <x:v>Hartlepool</x:v>
      </x:c>
      <x:c r="D20" s="12" t="n">
        <x:v>54.685388</x:v>
      </x:c>
      <x:c r="E20" s="12" t="n">
        <x:v>-1.212911</x:v>
      </x:c>
      <x:c r="F20" s="9" t="n">
        <x:v>2928</x:v>
      </x:c>
      <x:c r="G20" s="9" t="n">
        <x:v>1192</x:v>
      </x:c>
      <x:c r="H20" s="9" t="str">
        <x:v>data.police.uk street-crime records within 1 mile of Postcodes.io place centroid</x:v>
      </x:c>
      <x:c r="I20" s="9" t="n">
        <x:v>3</x:v>
      </x:c>
      <x:c r="J20" s="9" t="str">
        <x:v>Medium</x:v>
      </x:c>
      <x:c r="K20" s="10" t="n">
        <x:v>83014</x:v>
      </x:c>
      <x:c r="L20" s="9" t="n">
        <x:v>106</x:v>
      </x:c>
      <x:c r="M20" s="9" t="str">
        <x:v>High</x:v>
      </x:c>
      <x:c r="N20" s="9" t="n">
        <x:f>IF(K20&lt;='Methodology'!$B$15,5,IF(K20&gt;='Methodology'!$B$16,1,3))</x:f>
        <x:v>5</x:v>
      </x:c>
      <x:c r="O20" s="10" t="n">
        <x:v>400</x:v>
      </x:c>
      <x:c r="P20" s="9" t="str">
        <x:v>Medium</x:v>
      </x:c>
      <x:c r="Q20" s="9" t="n">
        <x:f>IF(O20&lt;='Methodology'!$B$17,5,IF(O20&gt;='Methodology'!$B$18,1,3))</x:f>
        <x:v>5</x:v>
      </x:c>
      <x:c r="R20" s="9" t="n">
        <x:v>16</x:v>
      </x:c>
      <x:c r="S20" s="9" t="n">
        <x:v>9</x:v>
      </x:c>
      <x:c r="T20" s="9" t="str">
        <x:v>Unclear</x:v>
      </x:c>
      <x:c r="U20" s="9" t="n">
        <x:v>2</x:v>
      </x:c>
      <x:c r="V20" s="9" t="n">
        <x:v>1</x:v>
      </x:c>
      <x:c r="W20" s="13" t="n">
        <x:f>MAX(1,MIN(5,U20+IF(T20="Known",0.5,IF(T20="Likely",0,-0.5))))</x:f>
        <x:v>1.5</x:v>
      </x:c>
      <x:c r="X20" s="13" t="n">
        <x:f>MAX(1,MIN(5,V20+IF(T20="Known",0.5,IF(T20="Likely",0,-0.5))))</x:f>
        <x:v>1</x:v>
      </x:c>
      <x:c r="Y20" s="9" t="n">
        <x:v>3</x:v>
      </x:c>
      <x:c r="Z20" s="9" t="str">
        <x:v>Medium</x:v>
      </x:c>
      <x:c r="AA20" s="9" t="n">
        <x:v>195</x:v>
      </x:c>
      <x:c r="AB20" s="9" t="n">
        <x:v>1</x:v>
      </x:c>
      <x:c r="AC20" s="9" t="n">
        <x:v>195</x:v>
      </x:c>
      <x:c r="AD20" s="9" t="n">
        <x:v>1</x:v>
      </x:c>
      <x:c r="AE20" s="9" t="n">
        <x:v>2</x:v>
      </x:c>
      <x:c r="AF20" s="9" t="str">
        <x:v>Medium</x:v>
      </x:c>
      <x:c r="AG20" s="9" t="n">
        <x:v>3</x:v>
      </x:c>
      <x:c r="AH20" s="9" t="str">
        <x:v>Medium</x:v>
      </x:c>
      <x:c r="AI20" s="9" t="n">
        <x:v>2</x:v>
      </x:c>
      <x:c r="AJ20" s="9" t="str">
        <x:v>Low</x:v>
      </x:c>
      <x:c r="AK20" s="13" t="n">
        <x:f>(N20*15+I20*15+Y20*15+AI20*15+AG20*15+W20*15+AE20*10)*20/(15*COUNT(N20,I20,Y20,AI20,AG20,W20)+10*COUNT(AE20))</x:f>
        <x:v>56.5</x:v>
      </x:c>
      <x:c r="AL20" s="13" t="n">
        <x:f>(Q20*15+I20*15+Y20*15+AI20*15+AG20*15+X20*15+AE20*10)*20/(15*COUNT(Q20,I20,Y20,AI20,AG20,X20)+10*COUNT(AE20))</x:f>
        <x:v>55</x:v>
      </x:c>
      <x:c r="AM20" s="13" t="n">
        <x:f>(N20+I20+Y20+AI20+AG20)*15/COUNT(N20,I20,Y20,AI20,AG20)</x:f>
        <x:v>48</x:v>
      </x:c>
      <x:c r="AN20" s="13" t="n">
        <x:f>(Q20+I20+Y20+AI20+AG20)*15/COUNT(Q20,I20,Y20,AI20,AG20)</x:f>
        <x:v>48</x:v>
      </x:c>
      <x:c r="AO20" s="9" t="n">
        <x:f>IF(I20=1,1,0)+IF(Y20=1,1,0)+IF(AI20=1,1,0)+IF(AG20=1,1,0)</x:f>
        <x:v>0</x:v>
      </x:c>
      <x:c r="AP20" s="14" t="n">
        <x:f>(IF(M20="High",3,IF(M20="Medium",2,1))+IF(J20="High",3,IF(J20="Medium",2,1))+IF(Z20="High",3,IF(Z20="Medium",2,1))+IF(AF20="High",3,IF(AF20="Medium",2,1))+IF(AH20="High",3,IF(AH20="Medium",2,1))+IF(AJ20="High",3,IF(AJ20="Medium",2,1))+2)/7</x:f>
        <x:v>2</x:v>
      </x:c>
      <x:c r="AQ20" s="14" t="n">
        <x:f>(IF(P20="High",3,IF(P20="Medium",2,1))+IF(J20="High",3,IF(J20="Medium",2,1))+IF(Z20="High",3,IF(Z20="Medium",2,1))+IF(AF20="High",3,IF(AF20="Medium",2,1))+IF(AH20="High",3,IF(AH20="Medium",2,1))+IF(AJ20="High",3,IF(AJ20="Medium",2,1))+2)/7</x:f>
        <x:v>1.8571428571428572</x:v>
      </x:c>
      <x:c r="AR20" s="9" t="n">
        <x:f>IF(N20="",1,0)+IF(I20="",1,0)+IF(Y20="",1,0)+IF(AI20="",1,0)+IF(AG20="",1,0)+IF(W20="",1,0)+IF(AE20="",1,0)</x:f>
        <x:v>0</x:v>
      </x:c>
      <x:c r="AS20" s="9" t="n">
        <x:f>IF(Q20="",1,0)+IF(I20="",1,0)+IF(Y20="",1,0)+IF(AI20="",1,0)+IF(AG20="",1,0)+IF(X20="",1,0)+IF(AE20="",1,0)</x:f>
        <x:v>0</x:v>
      </x:c>
      <x:c r="AT20" s="9" t="n">
        <x:v>57</x:v>
      </x:c>
      <x:c r="AU20" s="9" t="n">
        <x:v>59</x:v>
      </x:c>
      <x:c r="AV20" s="9" t="str">
        <x:v>Not proposed</x:v>
      </x:c>
      <x:c r="AW20" s="9" t="str"/>
    </x:row>
    <x:row r="21">
      <x:c r="A21" s="9" t="str">
        <x:v>Huddersfield</x:v>
      </x:c>
      <x:c r="B21" s="9" t="str">
        <x:v>England</x:v>
      </x:c>
      <x:c r="C21" s="9" t="str">
        <x:v>Kirklees</x:v>
      </x:c>
      <x:c r="D21" s="12" t="n">
        <x:v>53.644281</x:v>
      </x:c>
      <x:c r="E21" s="12" t="n">
        <x:v>-1.782201</x:v>
      </x:c>
      <x:c r="F21" s="9" t="n">
        <x:v>2621</x:v>
      </x:c>
      <x:c r="G21" s="9" t="n">
        <x:v>498</x:v>
      </x:c>
      <x:c r="H21" s="9" t="str">
        <x:v>data.police.uk street-crime records within 1 mile of Postcodes.io place centroid</x:v>
      </x:c>
      <x:c r="I21" s="9" t="n">
        <x:v>4</x:v>
      </x:c>
      <x:c r="J21" s="9" t="str">
        <x:v>Medium</x:v>
      </x:c>
      <x:c r="K21" s="10" t="n">
        <x:v>110000</x:v>
      </x:c>
      <x:c r="L21" s="9" t="n">
        <x:v>288</x:v>
      </x:c>
      <x:c r="M21" s="9" t="str">
        <x:v>High</x:v>
      </x:c>
      <x:c r="N21" s="9" t="n">
        <x:f>IF(K21&lt;='Methodology'!$B$15,5,IF(K21&gt;='Methodology'!$B$16,1,3))</x:f>
        <x:v>5</x:v>
      </x:c>
      <x:c r="O21" s="10" t="n">
        <x:v>582</x:v>
      </x:c>
      <x:c r="P21" s="9" t="str">
        <x:v>Medium</x:v>
      </x:c>
      <x:c r="Q21" s="9" t="n">
        <x:f>IF(O21&lt;='Methodology'!$B$17,5,IF(O21&gt;='Methodology'!$B$18,1,3))</x:f>
        <x:v>3</x:v>
      </x:c>
      <x:c r="R21" s="9" t="n">
        <x:v>33</x:v>
      </x:c>
      <x:c r="S21" s="9" t="n">
        <x:v>91</x:v>
      </x:c>
      <x:c r="T21" s="9" t="str">
        <x:v>Unclear</x:v>
      </x:c>
      <x:c r="U21" s="9" t="n">
        <x:v>3</x:v>
      </x:c>
      <x:c r="V21" s="9" t="n">
        <x:v>4</x:v>
      </x:c>
      <x:c r="W21" s="13" t="n">
        <x:f>MAX(1,MIN(5,U21+IF(T21="Known",0.5,IF(T21="Likely",0,-0.5))))</x:f>
        <x:v>2.5</x:v>
      </x:c>
      <x:c r="X21" s="13" t="n">
        <x:f>MAX(1,MIN(5,V21+IF(T21="Known",0.5,IF(T21="Likely",0,-0.5))))</x:f>
        <x:v>3.5</x:v>
      </x:c>
      <x:c r="Y21" s="9" t="n">
        <x:v>4</x:v>
      </x:c>
      <x:c r="Z21" s="9" t="str">
        <x:v>High</x:v>
      </x:c>
      <x:c r="AA21" s="9" t="n">
        <x:v>175</x:v>
      </x:c>
      <x:c r="AB21" s="9" t="n">
        <x:v>1</x:v>
      </x:c>
      <x:c r="AC21" s="9" t="n">
        <x:v>135</x:v>
      </x:c>
      <x:c r="AD21" s="9" t="n">
        <x:v>1</x:v>
      </x:c>
      <x:c r="AE21" s="9" t="n">
        <x:v>3</x:v>
      </x:c>
      <x:c r="AF21" s="9" t="str">
        <x:v>Medium</x:v>
      </x:c>
      <x:c r="AG21" s="9" t="n">
        <x:v>3</x:v>
      </x:c>
      <x:c r="AH21" s="9" t="str">
        <x:v>Medium</x:v>
      </x:c>
      <x:c r="AI21" s="9" t="n">
        <x:v>3</x:v>
      </x:c>
      <x:c r="AJ21" s="9" t="str">
        <x:v>Low</x:v>
      </x:c>
      <x:c r="AK21" s="13" t="n">
        <x:f>(N21*15+I21*15+Y21*15+AI21*15+AG21*15+W21*15+AE21*10)*20/(15*COUNT(N21,I21,Y21,AI21,AG21,W21)+10*COUNT(AE21))</x:f>
        <x:v>70.5</x:v>
      </x:c>
      <x:c r="AL21" s="13" t="n">
        <x:f>(Q21*15+I21*15+Y21*15+AI21*15+AG21*15+X21*15+AE21*10)*20/(15*COUNT(Q21,I21,Y21,AI21,AG21,X21)+10*COUNT(AE21))</x:f>
        <x:v>67.5</x:v>
      </x:c>
      <x:c r="AM21" s="13" t="n">
        <x:f>(N21+I21+Y21+AI21+AG21)*15/COUNT(N21,I21,Y21,AI21,AG21)</x:f>
        <x:v>57</x:v>
      </x:c>
      <x:c r="AN21" s="13" t="n">
        <x:f>(Q21+I21+Y21+AI21+AG21)*15/COUNT(Q21,I21,Y21,AI21,AG21)</x:f>
        <x:v>51</x:v>
      </x:c>
      <x:c r="AO21" s="9" t="n">
        <x:f>IF(I21=1,1,0)+IF(Y21=1,1,0)+IF(AI21=1,1,0)+IF(AG21=1,1,0)</x:f>
        <x:v>0</x:v>
      </x:c>
      <x:c r="AP21" s="14" t="n">
        <x:f>(IF(M21="High",3,IF(M21="Medium",2,1))+IF(J21="High",3,IF(J21="Medium",2,1))+IF(Z21="High",3,IF(Z21="Medium",2,1))+IF(AF21="High",3,IF(AF21="Medium",2,1))+IF(AH21="High",3,IF(AH21="Medium",2,1))+IF(AJ21="High",3,IF(AJ21="Medium",2,1))+2)/7</x:f>
        <x:v>2.142857142857143</x:v>
      </x:c>
      <x:c r="AQ21" s="14" t="n">
        <x:f>(IF(P21="High",3,IF(P21="Medium",2,1))+IF(J21="High",3,IF(J21="Medium",2,1))+IF(Z21="High",3,IF(Z21="Medium",2,1))+IF(AF21="High",3,IF(AF21="Medium",2,1))+IF(AH21="High",3,IF(AH21="Medium",2,1))+IF(AJ21="High",3,IF(AJ21="Medium",2,1))+2)/7</x:f>
        <x:v>2</x:v>
      </x:c>
      <x:c r="AR21" s="9" t="n">
        <x:f>IF(N21="",1,0)+IF(I21="",1,0)+IF(Y21="",1,0)+IF(AI21="",1,0)+IF(AG21="",1,0)+IF(W21="",1,0)+IF(AE21="",1,0)</x:f>
        <x:v>0</x:v>
      </x:c>
      <x:c r="AS21" s="9" t="n">
        <x:f>IF(Q21="",1,0)+IF(I21="",1,0)+IF(Y21="",1,0)+IF(AI21="",1,0)+IF(AG21="",1,0)+IF(X21="",1,0)+IF(AE21="",1,0)</x:f>
        <x:v>0</x:v>
      </x:c>
      <x:c r="AT21" s="9" t="n">
        <x:v>5</x:v>
      </x:c>
      <x:c r="AU21" s="9" t="n">
        <x:v>12</x:v>
      </x:c>
      <x:c r="AV21" s="9" t="str">
        <x:v>Proposed</x:v>
      </x:c>
      <x:c r="AW21" s="9" t="str">
        <x:v>Both</x:v>
      </x:c>
    </x:row>
    <x:row r="22">
      <x:c r="A22" s="9" t="str">
        <x:v>Hull (Kingston upon Hull)</x:v>
      </x:c>
      <x:c r="B22" s="9" t="str">
        <x:v>England</x:v>
      </x:c>
      <x:c r="C22" s="9" t="str">
        <x:v>Kingston upon Hull, City of</x:v>
      </x:c>
      <x:c r="D22" s="12" t="n">
        <x:v>53.744587</x:v>
      </x:c>
      <x:c r="E22" s="12" t="n">
        <x:v>-0.332576</x:v>
      </x:c>
      <x:c r="F22" s="9" t="n">
        <x:v>2361</x:v>
      </x:c>
      <x:c r="G22" s="9" t="n">
        <x:v>405</x:v>
      </x:c>
      <x:c r="H22" s="9" t="str">
        <x:v>data.police.uk street-crime records within 1 mile of Postcodes.io place centroid</x:v>
      </x:c>
      <x:c r="I22" s="9" t="n">
        <x:v>4</x:v>
      </x:c>
      <x:c r="J22" s="9" t="str">
        <x:v>Medium</x:v>
      </x:c>
      <x:c r="K22" s="10" t="n">
        <x:v>95000</x:v>
      </x:c>
      <x:c r="L22" s="9" t="n">
        <x:v>406</x:v>
      </x:c>
      <x:c r="M22" s="9" t="str">
        <x:v>High</x:v>
      </x:c>
      <x:c r="N22" s="9" t="n">
        <x:f>IF(K22&lt;='Methodology'!$B$15,5,IF(K22&gt;='Methodology'!$B$16,1,3))</x:f>
        <x:v>5</x:v>
      </x:c>
      <x:c r="O22" s="10" t="n">
        <x:v>498</x:v>
      </x:c>
      <x:c r="P22" s="9" t="str">
        <x:v>Medium</x:v>
      </x:c>
      <x:c r="Q22" s="9" t="n">
        <x:f>IF(O22&lt;='Methodology'!$B$17,5,IF(O22&gt;='Methodology'!$B$18,1,3))</x:f>
        <x:v>5</x:v>
      </x:c>
      <x:c r="R22" s="9" t="n">
        <x:v>92</x:v>
      </x:c>
      <x:c r="S22" s="9" t="n">
        <x:v>128</x:v>
      </x:c>
      <x:c r="T22" s="9" t="str">
        <x:v>Unclear</x:v>
      </x:c>
      <x:c r="U22" s="9" t="n">
        <x:v>4</x:v>
      </x:c>
      <x:c r="V22" s="9" t="n">
        <x:v>4</x:v>
      </x:c>
      <x:c r="W22" s="13" t="n">
        <x:f>MAX(1,MIN(5,U22+IF(T22="Known",0.5,IF(T22="Likely",0,-0.5))))</x:f>
        <x:v>3.5</x:v>
      </x:c>
      <x:c r="X22" s="13" t="n">
        <x:f>MAX(1,MIN(5,V22+IF(T22="Known",0.5,IF(T22="Likely",0,-0.5))))</x:f>
        <x:v>3.5</x:v>
      </x:c>
      <x:c r="Y22" s="9" t="n">
        <x:v>4</x:v>
      </x:c>
      <x:c r="Z22" s="9" t="str">
        <x:v>Medium</x:v>
      </x:c>
      <x:c r="AA22" s="9" t="n">
        <x:v>165</x:v>
      </x:c>
      <x:c r="AB22" s="9" t="n">
        <x:v>0</x:v>
      </x:c>
      <x:c r="AC22" s="9" t="n">
        <x:v>145</x:v>
      </x:c>
      <x:c r="AD22" s="9" t="n">
        <x:v>1</x:v>
      </x:c>
      <x:c r="AE22" s="9" t="n">
        <x:v>3</x:v>
      </x:c>
      <x:c r="AF22" s="9" t="str">
        <x:v>Medium</x:v>
      </x:c>
      <x:c r="AG22" s="9" t="n">
        <x:v>2</x:v>
      </x:c>
      <x:c r="AH22" s="9" t="str">
        <x:v>Medium</x:v>
      </x:c>
      <x:c r="AI22" s="9" t="n">
        <x:v>3</x:v>
      </x:c>
      <x:c r="AJ22" s="9" t="str">
        <x:v>Low</x:v>
      </x:c>
      <x:c r="AK22" s="13" t="n">
        <x:f>(N22*15+I22*15+Y22*15+AI22*15+AG22*15+W22*15+AE22*10)*20/(15*COUNT(N22,I22,Y22,AI22,AG22,W22)+10*COUNT(AE22))</x:f>
        <x:v>70.5</x:v>
      </x:c>
      <x:c r="AL22" s="13" t="n">
        <x:f>(Q22*15+I22*15+Y22*15+AI22*15+AG22*15+X22*15+AE22*10)*20/(15*COUNT(Q22,I22,Y22,AI22,AG22,X22)+10*COUNT(AE22))</x:f>
        <x:v>70.5</x:v>
      </x:c>
      <x:c r="AM22" s="13" t="n">
        <x:f>(N22+I22+Y22+AI22+AG22)*15/COUNT(N22,I22,Y22,AI22,AG22)</x:f>
        <x:v>54</x:v>
      </x:c>
      <x:c r="AN22" s="13" t="n">
        <x:f>(Q22+I22+Y22+AI22+AG22)*15/COUNT(Q22,I22,Y22,AI22,AG22)</x:f>
        <x:v>54</x:v>
      </x:c>
      <x:c r="AO22" s="9" t="n">
        <x:f>IF(I22=1,1,0)+IF(Y22=1,1,0)+IF(AI22=1,1,0)+IF(AG22=1,1,0)</x:f>
        <x:v>0</x:v>
      </x:c>
      <x:c r="AP22" s="14" t="n">
        <x:f>(IF(M22="High",3,IF(M22="Medium",2,1))+IF(J22="High",3,IF(J22="Medium",2,1))+IF(Z22="High",3,IF(Z22="Medium",2,1))+IF(AF22="High",3,IF(AF22="Medium",2,1))+IF(AH22="High",3,IF(AH22="Medium",2,1))+IF(AJ22="High",3,IF(AJ22="Medium",2,1))+2)/7</x:f>
        <x:v>2</x:v>
      </x:c>
      <x:c r="AQ22" s="14" t="n">
        <x:f>(IF(P22="High",3,IF(P22="Medium",2,1))+IF(J22="High",3,IF(J22="Medium",2,1))+IF(Z22="High",3,IF(Z22="Medium",2,1))+IF(AF22="High",3,IF(AF22="Medium",2,1))+IF(AH22="High",3,IF(AH22="Medium",2,1))+IF(AJ22="High",3,IF(AJ22="Medium",2,1))+2)/7</x:f>
        <x:v>1.8571428571428572</x:v>
      </x:c>
      <x:c r="AR22" s="9" t="n">
        <x:f>IF(N22="",1,0)+IF(I22="",1,0)+IF(Y22="",1,0)+IF(AI22="",1,0)+IF(AG22="",1,0)+IF(W22="",1,0)+IF(AE22="",1,0)</x:f>
        <x:v>0</x:v>
      </x:c>
      <x:c r="AS22" s="9" t="n">
        <x:f>IF(Q22="",1,0)+IF(I22="",1,0)+IF(Y22="",1,0)+IF(AI22="",1,0)+IF(AG22="",1,0)+IF(X22="",1,0)+IF(AE22="",1,0)</x:f>
        <x:v>0</x:v>
      </x:c>
      <x:c r="AT22" s="9" t="n">
        <x:v>6</x:v>
      </x:c>
      <x:c r="AU22" s="9" t="n">
        <x:v>6</x:v>
      </x:c>
      <x:c r="AV22" s="9" t="str">
        <x:v>Proposed</x:v>
      </x:c>
      <x:c r="AW22" s="9" t="str">
        <x:v>Both</x:v>
      </x:c>
    </x:row>
    <x:row r="23">
      <x:c r="A23" s="9" t="str">
        <x:v>Ipswich</x:v>
      </x:c>
      <x:c r="B23" s="9" t="str">
        <x:v>England</x:v>
      </x:c>
      <x:c r="C23" s="9" t="str">
        <x:v>Ipswich</x:v>
      </x:c>
      <x:c r="D23" s="12" t="n">
        <x:v>52.057066</x:v>
      </x:c>
      <x:c r="E23" s="12" t="n">
        <x:v>1.152832</x:v>
      </x:c>
      <x:c r="F23" s="9" t="n">
        <x:v>2451</x:v>
      </x:c>
      <x:c r="G23" s="9" t="n">
        <x:v>442</x:v>
      </x:c>
      <x:c r="H23" s="9" t="str">
        <x:v>data.police.uk street-crime records within 1 mile of Postcodes.io place centroid</x:v>
      </x:c>
      <x:c r="I23" s="9" t="n">
        <x:v>4</x:v>
      </x:c>
      <x:c r="J23" s="9" t="str">
        <x:v>Medium</x:v>
      </x:c>
      <x:c r="K23" s="10" t="n">
        <x:v>137000</x:v>
      </x:c>
      <x:c r="L23" s="9" t="n">
        <x:v>545</x:v>
      </x:c>
      <x:c r="M23" s="9" t="str">
        <x:v>High</x:v>
      </x:c>
      <x:c r="N23" s="9" t="n">
        <x:f>IF(K23&lt;='Methodology'!$B$15,5,IF(K23&gt;='Methodology'!$B$16,1,3))</x:f>
        <x:v>1</x:v>
      </x:c>
      <x:c r="O23" s="10" t="n">
        <x:v>743</x:v>
      </x:c>
      <x:c r="P23" s="9" t="str">
        <x:v>Medium</x:v>
      </x:c>
      <x:c r="Q23" s="9" t="n">
        <x:f>IF(O23&lt;='Methodology'!$B$17,5,IF(O23&gt;='Methodology'!$B$18,1,3))</x:f>
        <x:v>1</x:v>
      </x:c>
      <x:c r="R23" s="9" t="n">
        <x:v>117</x:v>
      </x:c>
      <x:c r="S23" s="9" t="n">
        <x:v>80</x:v>
      </x:c>
      <x:c r="T23" s="9" t="str">
        <x:v>Unclear</x:v>
      </x:c>
      <x:c r="U23" s="9" t="n">
        <x:v>4</x:v>
      </x:c>
      <x:c r="V23" s="9" t="n">
        <x:v>4</x:v>
      </x:c>
      <x:c r="W23" s="13" t="n">
        <x:f>MAX(1,MIN(5,U23+IF(T23="Known",0.5,IF(T23="Likely",0,-0.5))))</x:f>
        <x:v>3.5</x:v>
      </x:c>
      <x:c r="X23" s="13" t="n">
        <x:f>MAX(1,MIN(5,V23+IF(T23="Known",0.5,IF(T23="Likely",0,-0.5))))</x:f>
        <x:v>3.5</x:v>
      </x:c>
      <x:c r="Y23" s="9" t="n">
        <x:v>4</x:v>
      </x:c>
      <x:c r="Z23" s="9" t="str">
        <x:v>Medium</x:v>
      </x:c>
      <x:c r="AA23" s="9" t="n">
        <x:v>65</x:v>
      </x:c>
      <x:c r="AB23" s="9" t="n">
        <x:v>0</x:v>
      </x:c>
      <x:c r="AC23" s="9" t="n">
        <x:v>170</x:v>
      </x:c>
      <x:c r="AD23" s="9" t="n">
        <x:v>1</x:v>
      </x:c>
      <x:c r="AE23" s="9" t="n">
        <x:v>4</x:v>
      </x:c>
      <x:c r="AF23" s="9" t="str">
        <x:v>Medium</x:v>
      </x:c>
      <x:c r="AG23" s="9" t="n">
        <x:v>3</x:v>
      </x:c>
      <x:c r="AH23" s="9" t="str">
        <x:v>Medium</x:v>
      </x:c>
      <x:c r="AI23" s="9" t="n">
        <x:v>3</x:v>
      </x:c>
      <x:c r="AJ23" s="9" t="str">
        <x:v>Low</x:v>
      </x:c>
      <x:c r="AK23" s="13" t="n">
        <x:f>(N23*15+I23*15+Y23*15+AI23*15+AG23*15+W23*15+AE23*10)*20/(15*COUNT(N23,I23,Y23,AI23,AG23,W23)+10*COUNT(AE23))</x:f>
        <x:v>63.5</x:v>
      </x:c>
      <x:c r="AL23" s="13" t="n">
        <x:f>(Q23*15+I23*15+Y23*15+AI23*15+AG23*15+X23*15+AE23*10)*20/(15*COUNT(Q23,I23,Y23,AI23,AG23,X23)+10*COUNT(AE23))</x:f>
        <x:v>63.5</x:v>
      </x:c>
      <x:c r="AM23" s="13" t="n">
        <x:f>(N23+I23+Y23+AI23+AG23)*15/COUNT(N23,I23,Y23,AI23,AG23)</x:f>
        <x:v>45</x:v>
      </x:c>
      <x:c r="AN23" s="13" t="n">
        <x:f>(Q23+I23+Y23+AI23+AG23)*15/COUNT(Q23,I23,Y23,AI23,AG23)</x:f>
        <x:v>45</x:v>
      </x:c>
      <x:c r="AO23" s="9" t="n">
        <x:f>IF(I23=1,1,0)+IF(Y23=1,1,0)+IF(AI23=1,1,0)+IF(AG23=1,1,0)</x:f>
        <x:v>0</x:v>
      </x:c>
      <x:c r="AP23" s="14" t="n">
        <x:f>(IF(M23="High",3,IF(M23="Medium",2,1))+IF(J23="High",3,IF(J23="Medium",2,1))+IF(Z23="High",3,IF(Z23="Medium",2,1))+IF(AF23="High",3,IF(AF23="Medium",2,1))+IF(AH23="High",3,IF(AH23="Medium",2,1))+IF(AJ23="High",3,IF(AJ23="Medium",2,1))+2)/7</x:f>
        <x:v>2</x:v>
      </x:c>
      <x:c r="AQ23" s="14" t="n">
        <x:f>(IF(P23="High",3,IF(P23="Medium",2,1))+IF(J23="High",3,IF(J23="Medium",2,1))+IF(Z23="High",3,IF(Z23="Medium",2,1))+IF(AF23="High",3,IF(AF23="Medium",2,1))+IF(AH23="High",3,IF(AH23="Medium",2,1))+IF(AJ23="High",3,IF(AJ23="Medium",2,1))+2)/7</x:f>
        <x:v>1.8571428571428572</x:v>
      </x:c>
      <x:c r="AR23" s="9" t="n">
        <x:f>IF(N23="",1,0)+IF(I23="",1,0)+IF(Y23="",1,0)+IF(AI23="",1,0)+IF(AG23="",1,0)+IF(W23="",1,0)+IF(AE23="",1,0)</x:f>
        <x:v>0</x:v>
      </x:c>
      <x:c r="AS23" s="9" t="n">
        <x:f>IF(Q23="",1,0)+IF(I23="",1,0)+IF(Y23="",1,0)+IF(AI23="",1,0)+IF(AG23="",1,0)+IF(X23="",1,0)+IF(AE23="",1,0)</x:f>
        <x:v>0</x:v>
      </x:c>
      <x:c r="AT23" s="9" t="n">
        <x:v>29</x:v>
      </x:c>
      <x:c r="AU23" s="9" t="n">
        <x:v>34</x:v>
      </x:c>
      <x:c r="AV23" s="9" t="str">
        <x:v>Not proposed</x:v>
      </x:c>
      <x:c r="AW23" s="9" t="str"/>
    </x:row>
    <x:row r="24">
      <x:c r="A24" s="9" t="str">
        <x:v>Kettering</x:v>
      </x:c>
      <x:c r="B24" s="9" t="str">
        <x:v>England</x:v>
      </x:c>
      <x:c r="C24" s="9" t="str">
        <x:v>North Northamptonshire</x:v>
      </x:c>
      <x:c r="D24" s="12" t="n">
        <x:v>52.399947</x:v>
      </x:c>
      <x:c r="E24" s="12" t="n">
        <x:v>-0.728307</x:v>
      </x:c>
      <x:c r="F24" s="9" t="n">
        <x:v>1819</x:v>
      </x:c>
      <x:c r="G24" s="9" t="n">
        <x:v>1216</x:v>
      </x:c>
      <x:c r="H24" s="9" t="str">
        <x:v>data.police.uk street-crime records within 1 mile of Postcodes.io place centroid</x:v>
      </x:c>
      <x:c r="I24" s="9" t="n">
        <x:v>4</x:v>
      </x:c>
      <x:c r="J24" s="9" t="str">
        <x:v>Medium</x:v>
      </x:c>
      <x:c r="K24" s="10" t="n">
        <x:v>129475</x:v>
      </x:c>
      <x:c r="L24" s="9" t="n">
        <x:v>210</x:v>
      </x:c>
      <x:c r="M24" s="9" t="str">
        <x:v>High</x:v>
      </x:c>
      <x:c r="N24" s="9" t="n">
        <x:f>IF(K24&lt;='Methodology'!$B$15,5,IF(K24&gt;='Methodology'!$B$16,1,3))</x:f>
        <x:v>3</x:v>
      </x:c>
      <x:c r="O24" s="10" t="n">
        <x:v>681</x:v>
      </x:c>
      <x:c r="P24" s="9" t="str">
        <x:v>Medium</x:v>
      </x:c>
      <x:c r="Q24" s="9" t="n">
        <x:f>IF(O24&lt;='Methodology'!$B$17,5,IF(O24&gt;='Methodology'!$B$18,1,3))</x:f>
        <x:v>3</x:v>
      </x:c>
      <x:c r="R24" s="9" t="n">
        <x:v>15</x:v>
      </x:c>
      <x:c r="S24" s="9" t="n">
        <x:v>30</x:v>
      </x:c>
      <x:c r="T24" s="9" t="str">
        <x:v>Unclear</x:v>
      </x:c>
      <x:c r="U24" s="9" t="n">
        <x:v>2</x:v>
      </x:c>
      <x:c r="V24" s="9" t="n">
        <x:v>3</x:v>
      </x:c>
      <x:c r="W24" s="13" t="n">
        <x:f>MAX(1,MIN(5,U24+IF(T24="Known",0.5,IF(T24="Likely",0,-0.5))))</x:f>
        <x:v>1.5</x:v>
      </x:c>
      <x:c r="X24" s="13" t="n">
        <x:f>MAX(1,MIN(5,V24+IF(T24="Known",0.5,IF(T24="Likely",0,-0.5))))</x:f>
        <x:v>2.5</x:v>
      </x:c>
      <x:c r="Y24" s="9" t="n">
        <x:v>3</x:v>
      </x:c>
      <x:c r="Z24" s="9" t="str">
        <x:v>Medium</x:v>
      </x:c>
      <x:c r="AA24" s="9" t="n">
        <x:v>55</x:v>
      </x:c>
      <x:c r="AB24" s="9" t="n">
        <x:v>0</x:v>
      </x:c>
      <x:c r="AC24" s="9" t="n">
        <x:v>70</x:v>
      </x:c>
      <x:c r="AD24" s="9" t="n">
        <x:v>0</x:v>
      </x:c>
      <x:c r="AE24" s="9" t="n">
        <x:v>5</x:v>
      </x:c>
      <x:c r="AF24" s="9" t="str">
        <x:v>Medium</x:v>
      </x:c>
      <x:c r="AG24" s="9" t="n">
        <x:v>3</x:v>
      </x:c>
      <x:c r="AH24" s="9" t="str">
        <x:v>Medium</x:v>
      </x:c>
      <x:c r="AI24" s="9" t="n">
        <x:v>3</x:v>
      </x:c>
      <x:c r="AJ24" s="9" t="str">
        <x:v>Low</x:v>
      </x:c>
      <x:c r="AK24" s="13" t="n">
        <x:f>(N24*15+I24*15+Y24*15+AI24*15+AG24*15+W24*15+AE24*10)*20/(15*COUNT(N24,I24,Y24,AI24,AG24,W24)+10*COUNT(AE24))</x:f>
        <x:v>62.5</x:v>
      </x:c>
      <x:c r="AL24" s="13" t="n">
        <x:f>(Q24*15+I24*15+Y24*15+AI24*15+AG24*15+X24*15+AE24*10)*20/(15*COUNT(Q24,I24,Y24,AI24,AG24,X24)+10*COUNT(AE24))</x:f>
        <x:v>65.5</x:v>
      </x:c>
      <x:c r="AM24" s="13" t="n">
        <x:f>(N24+I24+Y24+AI24+AG24)*15/COUNT(N24,I24,Y24,AI24,AG24)</x:f>
        <x:v>48</x:v>
      </x:c>
      <x:c r="AN24" s="13" t="n">
        <x:f>(Q24+I24+Y24+AI24+AG24)*15/COUNT(Q24,I24,Y24,AI24,AG24)</x:f>
        <x:v>48</x:v>
      </x:c>
      <x:c r="AO24" s="9" t="n">
        <x:f>IF(I24=1,1,0)+IF(Y24=1,1,0)+IF(AI24=1,1,0)+IF(AG24=1,1,0)</x:f>
        <x:v>0</x:v>
      </x:c>
      <x:c r="AP24" s="14" t="n">
        <x:f>(IF(M24="High",3,IF(M24="Medium",2,1))+IF(J24="High",3,IF(J24="Medium",2,1))+IF(Z24="High",3,IF(Z24="Medium",2,1))+IF(AF24="High",3,IF(AF24="Medium",2,1))+IF(AH24="High",3,IF(AH24="Medium",2,1))+IF(AJ24="High",3,IF(AJ24="Medium",2,1))+2)/7</x:f>
        <x:v>2</x:v>
      </x:c>
      <x:c r="AQ24" s="14" t="n">
        <x:f>(IF(P24="High",3,IF(P24="Medium",2,1))+IF(J24="High",3,IF(J24="Medium",2,1))+IF(Z24="High",3,IF(Z24="Medium",2,1))+IF(AF24="High",3,IF(AF24="Medium",2,1))+IF(AH24="High",3,IF(AH24="Medium",2,1))+IF(AJ24="High",3,IF(AJ24="Medium",2,1))+2)/7</x:f>
        <x:v>1.8571428571428572</x:v>
      </x:c>
      <x:c r="AR24" s="9" t="n">
        <x:f>IF(N24="",1,0)+IF(I24="",1,0)+IF(Y24="",1,0)+IF(AI24="",1,0)+IF(AG24="",1,0)+IF(W24="",1,0)+IF(AE24="",1,0)</x:f>
        <x:v>0</x:v>
      </x:c>
      <x:c r="AS24" s="9" t="n">
        <x:f>IF(Q24="",1,0)+IF(I24="",1,0)+IF(Y24="",1,0)+IF(AI24="",1,0)+IF(AG24="",1,0)+IF(X24="",1,0)+IF(AE24="",1,0)</x:f>
        <x:v>0</x:v>
      </x:c>
      <x:c r="AT24" s="9" t="n">
        <x:v>34</x:v>
      </x:c>
      <x:c r="AU24" s="9" t="n">
        <x:v>23</x:v>
      </x:c>
      <x:c r="AV24" s="9" t="str">
        <x:v>Not proposed</x:v>
      </x:c>
      <x:c r="AW24" s="9" t="str"/>
    </x:row>
    <x:row r="25">
      <x:c r="A25" s="9" t="str">
        <x:v>Lancaster</x:v>
      </x:c>
      <x:c r="B25" s="9" t="str">
        <x:v>England</x:v>
      </x:c>
      <x:c r="C25" s="9" t="str">
        <x:v>Lancaster</x:v>
      </x:c>
      <x:c r="D25" s="12" t="n">
        <x:v>54.050069</x:v>
      </x:c>
      <x:c r="E25" s="12" t="n">
        <x:v>-2.803161</x:v>
      </x:c>
      <x:c r="F25" s="9" t="n">
        <x:v>1646</x:v>
      </x:c>
      <x:c r="G25" s="9" t="n">
        <x:v>1154</x:v>
      </x:c>
      <x:c r="H25" s="9" t="str">
        <x:v>data.police.uk street-crime records within 1 mile of Postcodes.io place centroid</x:v>
      </x:c>
      <x:c r="I25" s="9" t="n">
        <x:v>4</x:v>
      </x:c>
      <x:c r="J25" s="9" t="str">
        <x:v>Medium</x:v>
      </x:c>
      <x:c r="K25" s="10" t="n">
        <x:v>130000</x:v>
      </x:c>
      <x:c r="L25" s="9" t="n">
        <x:v>231</x:v>
      </x:c>
      <x:c r="M25" s="9" t="str">
        <x:v>High</x:v>
      </x:c>
      <x:c r="N25" s="9" t="n">
        <x:f>IF(K25&lt;='Methodology'!$B$15,5,IF(K25&gt;='Methodology'!$B$16,1,3))</x:f>
        <x:v>3</x:v>
      </x:c>
      <x:c r="O25" s="10" t="n">
        <x:v>596</x:v>
      </x:c>
      <x:c r="P25" s="9" t="str">
        <x:v>Medium</x:v>
      </x:c>
      <x:c r="Q25" s="9" t="n">
        <x:f>IF(O25&lt;='Methodology'!$B$17,5,IF(O25&gt;='Methodology'!$B$18,1,3))</x:f>
        <x:v>3</x:v>
      </x:c>
      <x:c r="R25" s="9" t="n">
        <x:v>26</x:v>
      </x:c>
      <x:c r="S25" s="9" t="n">
        <x:v>9</x:v>
      </x:c>
      <x:c r="T25" s="9" t="str">
        <x:v>Unclear</x:v>
      </x:c>
      <x:c r="U25" s="9" t="n">
        <x:v>3</x:v>
      </x:c>
      <x:c r="V25" s="9" t="n">
        <x:v>1</x:v>
      </x:c>
      <x:c r="W25" s="13" t="n">
        <x:f>MAX(1,MIN(5,U25+IF(T25="Known",0.5,IF(T25="Likely",0,-0.5))))</x:f>
        <x:v>2.5</x:v>
      </x:c>
      <x:c r="X25" s="13" t="n">
        <x:f>MAX(1,MIN(5,V25+IF(T25="Known",0.5,IF(T25="Likely",0,-0.5))))</x:f>
        <x:v>1</x:v>
      </x:c>
      <x:c r="Y25" s="9" t="n">
        <x:v>4</x:v>
      </x:c>
      <x:c r="Z25" s="9" t="str">
        <x:v>Medium</x:v>
      </x:c>
      <x:c r="AA25" s="9" t="n">
        <x:v>145</x:v>
      </x:c>
      <x:c r="AB25" s="9" t="n">
        <x:v>0</x:v>
      </x:c>
      <x:c r="AC25" s="9" t="n">
        <x:v>110</x:v>
      </x:c>
      <x:c r="AD25" s="9" t="n">
        <x:v>0</x:v>
      </x:c>
      <x:c r="AE25" s="9" t="n">
        <x:v>4</x:v>
      </x:c>
      <x:c r="AF25" s="9" t="str">
        <x:v>Medium</x:v>
      </x:c>
      <x:c r="AG25" s="9" t="n">
        <x:v>4</x:v>
      </x:c>
      <x:c r="AH25" s="9" t="str">
        <x:v>Medium</x:v>
      </x:c>
      <x:c r="AI25" s="9" t="n">
        <x:v>4</x:v>
      </x:c>
      <x:c r="AJ25" s="9" t="str">
        <x:v>Medium</x:v>
      </x:c>
      <x:c r="AK25" s="13" t="n">
        <x:f>(N25*15+I25*15+Y25*15+AI25*15+AG25*15+W25*15+AE25*10)*20/(15*COUNT(N25,I25,Y25,AI25,AG25,W25)+10*COUNT(AE25))</x:f>
        <x:v>72.5</x:v>
      </x:c>
      <x:c r="AL25" s="13" t="n">
        <x:f>(Q25*15+I25*15+Y25*15+AI25*15+AG25*15+X25*15+AE25*10)*20/(15*COUNT(Q25,I25,Y25,AI25,AG25,X25)+10*COUNT(AE25))</x:f>
        <x:v>68</x:v>
      </x:c>
      <x:c r="AM25" s="13" t="n">
        <x:f>(N25+I25+Y25+AI25+AG25)*15/COUNT(N25,I25,Y25,AI25,AG25)</x:f>
        <x:v>57</x:v>
      </x:c>
      <x:c r="AN25" s="13" t="n">
        <x:f>(Q25+I25+Y25+AI25+AG25)*15/COUNT(Q25,I25,Y25,AI25,AG25)</x:f>
        <x:v>57</x:v>
      </x:c>
      <x:c r="AO25" s="9" t="n">
        <x:f>IF(I25=1,1,0)+IF(Y25=1,1,0)+IF(AI25=1,1,0)+IF(AG25=1,1,0)</x:f>
        <x:v>0</x:v>
      </x:c>
      <x:c r="AP25" s="14" t="n">
        <x:f>(IF(M25="High",3,IF(M25="Medium",2,1))+IF(J25="High",3,IF(J25="Medium",2,1))+IF(Z25="High",3,IF(Z25="Medium",2,1))+IF(AF25="High",3,IF(AF25="Medium",2,1))+IF(AH25="High",3,IF(AH25="Medium",2,1))+IF(AJ25="High",3,IF(AJ25="Medium",2,1))+2)/7</x:f>
        <x:v>2.142857142857143</x:v>
      </x:c>
      <x:c r="AQ25" s="14" t="n">
        <x:f>(IF(P25="High",3,IF(P25="Medium",2,1))+IF(J25="High",3,IF(J25="Medium",2,1))+IF(Z25="High",3,IF(Z25="Medium",2,1))+IF(AF25="High",3,IF(AF25="Medium",2,1))+IF(AH25="High",3,IF(AH25="Medium",2,1))+IF(AJ25="High",3,IF(AJ25="Medium",2,1))+2)/7</x:f>
        <x:v>2</x:v>
      </x:c>
      <x:c r="AR25" s="9" t="n">
        <x:f>IF(N25="",1,0)+IF(I25="",1,0)+IF(Y25="",1,0)+IF(AI25="",1,0)+IF(AG25="",1,0)+IF(W25="",1,0)+IF(AE25="",1,0)</x:f>
        <x:v>0</x:v>
      </x:c>
      <x:c r="AS25" s="9" t="n">
        <x:f>IF(Q25="",1,0)+IF(I25="",1,0)+IF(Y25="",1,0)+IF(AI25="",1,0)+IF(AG25="",1,0)+IF(X25="",1,0)+IF(AE25="",1,0)</x:f>
        <x:v>0</x:v>
      </x:c>
      <x:c r="AT25" s="9" t="n">
        <x:v>2</x:v>
      </x:c>
      <x:c r="AU25" s="9" t="n">
        <x:v>9</x:v>
      </x:c>
      <x:c r="AV25" s="9" t="str">
        <x:v>Proposed</x:v>
      </x:c>
      <x:c r="AW25" s="9" t="str">
        <x:v>Both</x:v>
      </x:c>
    </x:row>
    <x:row r="26">
      <x:c r="A26" s="9" t="str">
        <x:v>Leeds</x:v>
      </x:c>
      <x:c r="B26" s="9" t="str">
        <x:v>England</x:v>
      </x:c>
      <x:c r="C26" s="9" t="str">
        <x:v>Leeds</x:v>
      </x:c>
      <x:c r="D26" s="12" t="n">
        <x:v>53.800703</x:v>
      </x:c>
      <x:c r="E26" s="12" t="n">
        <x:v>-1.550264</x:v>
      </x:c>
      <x:c r="F26" s="9" t="n">
        <x:v>5009</x:v>
      </x:c>
      <x:c r="G26" s="9" t="n">
        <x:v>1514</x:v>
      </x:c>
      <x:c r="H26" s="9" t="str">
        <x:v>data.police.uk street-crime records within 1 mile of Postcodes.io place centroid</x:v>
      </x:c>
      <x:c r="I26" s="9" t="n">
        <x:v>2</x:v>
      </x:c>
      <x:c r="J26" s="9" t="str">
        <x:v>Medium</x:v>
      </x:c>
      <x:c r="K26" s="10" t="n">
        <x:v>155000</x:v>
      </x:c>
      <x:c r="L26" s="9" t="n">
        <x:v>2152</x:v>
      </x:c>
      <x:c r="M26" s="9" t="str">
        <x:v>High</x:v>
      </x:c>
      <x:c r="N26" s="9" t="n">
        <x:f>IF(K26&lt;='Methodology'!$B$15,5,IF(K26&gt;='Methodology'!$B$16,1,3))</x:f>
        <x:v>1</x:v>
      </x:c>
      <x:c r="O26" s="10" t="n">
        <x:v>779</x:v>
      </x:c>
      <x:c r="P26" s="9" t="str">
        <x:v>Medium</x:v>
      </x:c>
      <x:c r="Q26" s="9" t="n">
        <x:f>IF(O26&lt;='Methodology'!$B$17,5,IF(O26&gt;='Methodology'!$B$18,1,3))</x:f>
        <x:v>1</x:v>
      </x:c>
      <x:c r="R26" s="9" t="n">
        <x:v>453</x:v>
      </x:c>
      <x:c r="S26" s="9" t="n">
        <x:v>627</x:v>
      </x:c>
      <x:c r="T26" s="9" t="str">
        <x:v>Unclear</x:v>
      </x:c>
      <x:c r="U26" s="9" t="n">
        <x:v>5</x:v>
      </x:c>
      <x:c r="V26" s="9" t="n">
        <x:v>5</x:v>
      </x:c>
      <x:c r="W26" s="13" t="n">
        <x:f>MAX(1,MIN(5,U26+IF(T26="Known",0.5,IF(T26="Likely",0,-0.5))))</x:f>
        <x:v>4.5</x:v>
      </x:c>
      <x:c r="X26" s="13" t="n">
        <x:f>MAX(1,MIN(5,V26+IF(T26="Known",0.5,IF(T26="Likely",0,-0.5))))</x:f>
        <x:v>4.5</x:v>
      </x:c>
      <x:c r="Y26" s="9" t="n">
        <x:v>5</x:v>
      </x:c>
      <x:c r="Z26" s="9" t="str">
        <x:v>High</x:v>
      </x:c>
      <x:c r="AA26" s="9" t="n">
        <x:v>130</x:v>
      </x:c>
      <x:c r="AB26" s="9" t="n">
        <x:v>0</x:v>
      </x:c>
      <x:c r="AC26" s="9" t="n">
        <x:v>115</x:v>
      </x:c>
      <x:c r="AD26" s="9" t="n">
        <x:v>0</x:v>
      </x:c>
      <x:c r="AE26" s="9" t="n">
        <x:v>4</x:v>
      </x:c>
      <x:c r="AF26" s="9" t="str">
        <x:v>Medium</x:v>
      </x:c>
      <x:c r="AG26" s="9" t="n">
        <x:v>2</x:v>
      </x:c>
      <x:c r="AH26" s="9" t="str">
        <x:v>Medium</x:v>
      </x:c>
      <x:c r="AI26" s="9" t="n">
        <x:v>4</x:v>
      </x:c>
      <x:c r="AJ26" s="9" t="str">
        <x:v>Medium</x:v>
      </x:c>
      <x:c r="AK26" s="13" t="n">
        <x:f>(N26*15+I26*15+Y26*15+AI26*15+AG26*15+W26*15+AE26*10)*20/(15*COUNT(N26,I26,Y26,AI26,AG26,W26)+10*COUNT(AE26))</x:f>
        <x:v>63.5</x:v>
      </x:c>
      <x:c r="AL26" s="13" t="n">
        <x:f>(Q26*15+I26*15+Y26*15+AI26*15+AG26*15+X26*15+AE26*10)*20/(15*COUNT(Q26,I26,Y26,AI26,AG26,X26)+10*COUNT(AE26))</x:f>
        <x:v>63.5</x:v>
      </x:c>
      <x:c r="AM26" s="13" t="n">
        <x:f>(N26+I26+Y26+AI26+AG26)*15/COUNT(N26,I26,Y26,AI26,AG26)</x:f>
        <x:v>42</x:v>
      </x:c>
      <x:c r="AN26" s="13" t="n">
        <x:f>(Q26+I26+Y26+AI26+AG26)*15/COUNT(Q26,I26,Y26,AI26,AG26)</x:f>
        <x:v>42</x:v>
      </x:c>
      <x:c r="AO26" s="9" t="n">
        <x:f>IF(I26=1,1,0)+IF(Y26=1,1,0)+IF(AI26=1,1,0)+IF(AG26=1,1,0)</x:f>
        <x:v>0</x:v>
      </x:c>
      <x:c r="AP26" s="14" t="n">
        <x:f>(IF(M26="High",3,IF(M26="Medium",2,1))+IF(J26="High",3,IF(J26="Medium",2,1))+IF(Z26="High",3,IF(Z26="Medium",2,1))+IF(AF26="High",3,IF(AF26="Medium",2,1))+IF(AH26="High",3,IF(AH26="Medium",2,1))+IF(AJ26="High",3,IF(AJ26="Medium",2,1))+2)/7</x:f>
        <x:v>2.2857142857142856</x:v>
      </x:c>
      <x:c r="AQ26" s="14" t="n">
        <x:f>(IF(P26="High",3,IF(P26="Medium",2,1))+IF(J26="High",3,IF(J26="Medium",2,1))+IF(Z26="High",3,IF(Z26="Medium",2,1))+IF(AF26="High",3,IF(AF26="Medium",2,1))+IF(AH26="High",3,IF(AH26="Medium",2,1))+IF(AJ26="High",3,IF(AJ26="Medium",2,1))+2)/7</x:f>
        <x:v>2.142857142857143</x:v>
      </x:c>
      <x:c r="AR26" s="9" t="n">
        <x:f>IF(N26="",1,0)+IF(I26="",1,0)+IF(Y26="",1,0)+IF(AI26="",1,0)+IF(AG26="",1,0)+IF(W26="",1,0)+IF(AE26="",1,0)</x:f>
        <x:v>0</x:v>
      </x:c>
      <x:c r="AS26" s="9" t="n">
        <x:f>IF(Q26="",1,0)+IF(I26="",1,0)+IF(Y26="",1,0)+IF(AI26="",1,0)+IF(AG26="",1,0)+IF(X26="",1,0)+IF(AE26="",1,0)</x:f>
        <x:v>0</x:v>
      </x:c>
      <x:c r="AT26" s="9" t="n">
        <x:v>31</x:v>
      </x:c>
      <x:c r="AU26" s="9" t="n">
        <x:v>36</x:v>
      </x:c>
      <x:c r="AV26" s="9" t="str">
        <x:v>Not proposed</x:v>
      </x:c>
      <x:c r="AW26" s="9" t="str"/>
    </x:row>
    <x:row r="27">
      <x:c r="A27" s="9" t="str">
        <x:v>Leicester</x:v>
      </x:c>
      <x:c r="B27" s="9" t="str">
        <x:v>England</x:v>
      </x:c>
      <x:c r="C27" s="9" t="str">
        <x:v>Leicester</x:v>
      </x:c>
      <x:c r="D27" s="12" t="n">
        <x:v>52.633614</x:v>
      </x:c>
      <x:c r="E27" s="12" t="n">
        <x:v>-1.133462</x:v>
      </x:c>
      <x:c r="F27" s="9" t="n">
        <x:v>5784</x:v>
      </x:c>
      <x:c r="G27" s="9" t="n">
        <x:v>2366</x:v>
      </x:c>
      <x:c r="H27" s="9" t="str">
        <x:v>data.police.uk street-crime records within 1 mile of Postcodes.io place centroid</x:v>
      </x:c>
      <x:c r="I27" s="9" t="n">
        <x:v>1</x:v>
      </x:c>
      <x:c r="J27" s="9" t="str">
        <x:v>Medium</x:v>
      </x:c>
      <x:c r="K27" s="10" t="n">
        <x:v>130000</x:v>
      </x:c>
      <x:c r="L27" s="9" t="n">
        <x:v>803</x:v>
      </x:c>
      <x:c r="M27" s="9" t="str">
        <x:v>High</x:v>
      </x:c>
      <x:c r="N27" s="9" t="n">
        <x:f>IF(K27&lt;='Methodology'!$B$15,5,IF(K27&gt;='Methodology'!$B$16,1,3))</x:f>
        <x:v>3</x:v>
      </x:c>
      <x:c r="O27" s="10" t="n">
        <x:v>717</x:v>
      </x:c>
      <x:c r="P27" s="9" t="str">
        <x:v>Medium</x:v>
      </x:c>
      <x:c r="Q27" s="9" t="n">
        <x:f>IF(O27&lt;='Methodology'!$B$17,5,IF(O27&gt;='Methodology'!$B$18,1,3))</x:f>
        <x:v>1</x:v>
      </x:c>
      <x:c r="R27" s="9" t="n">
        <x:v>190</x:v>
      </x:c>
      <x:c r="S27" s="9" t="n">
        <x:v>386</x:v>
      </x:c>
      <x:c r="T27" s="9" t="str">
        <x:v>Unclear</x:v>
      </x:c>
      <x:c r="U27" s="9" t="n">
        <x:v>4</x:v>
      </x:c>
      <x:c r="V27" s="9" t="n">
        <x:v>5</x:v>
      </x:c>
      <x:c r="W27" s="13" t="n">
        <x:f>MAX(1,MIN(5,U27+IF(T27="Known",0.5,IF(T27="Likely",0,-0.5))))</x:f>
        <x:v>3.5</x:v>
      </x:c>
      <x:c r="X27" s="13" t="n">
        <x:f>MAX(1,MIN(5,V27+IF(T27="Known",0.5,IF(T27="Likely",0,-0.5))))</x:f>
        <x:v>4.5</x:v>
      </x:c>
      <x:c r="Y27" s="9" t="n">
        <x:v>4</x:v>
      </x:c>
      <x:c r="Z27" s="9" t="str">
        <x:v>Medium</x:v>
      </x:c>
      <x:c r="AA27" s="9" t="n">
        <x:v>65</x:v>
      </x:c>
      <x:c r="AB27" s="9" t="n">
        <x:v>0</x:v>
      </x:c>
      <x:c r="AC27" s="9" t="n">
        <x:v>55</x:v>
      </x:c>
      <x:c r="AD27" s="9" t="n">
        <x:v>0</x:v>
      </x:c>
      <x:c r="AE27" s="9" t="n">
        <x:v>5</x:v>
      </x:c>
      <x:c r="AF27" s="9" t="str">
        <x:v>Medium</x:v>
      </x:c>
      <x:c r="AG27" s="9" t="n">
        <x:v>2</x:v>
      </x:c>
      <x:c r="AH27" s="9" t="str">
        <x:v>Medium</x:v>
      </x:c>
      <x:c r="AI27" s="9" t="n">
        <x:v>3</x:v>
      </x:c>
      <x:c r="AJ27" s="9" t="str">
        <x:v>Low</x:v>
      </x:c>
      <x:c r="AK27" s="13" t="n">
        <x:f>(N27*15+I27*15+Y27*15+AI27*15+AG27*15+W27*15+AE27*10)*20/(15*COUNT(N27,I27,Y27,AI27,AG27,W27)+10*COUNT(AE27))</x:f>
        <x:v>59.5</x:v>
      </x:c>
      <x:c r="AL27" s="13" t="n">
        <x:f>(Q27*15+I27*15+Y27*15+AI27*15+AG27*15+X27*15+AE27*10)*20/(15*COUNT(Q27,I27,Y27,AI27,AG27,X27)+10*COUNT(AE27))</x:f>
        <x:v>56.5</x:v>
      </x:c>
      <x:c r="AM27" s="13" t="n">
        <x:f>(N27+I27+Y27+AI27+AG27)*15/COUNT(N27,I27,Y27,AI27,AG27)</x:f>
        <x:v>39</x:v>
      </x:c>
      <x:c r="AN27" s="13" t="n">
        <x:f>(Q27+I27+Y27+AI27+AG27)*15/COUNT(Q27,I27,Y27,AI27,AG27)</x:f>
        <x:v>33</x:v>
      </x:c>
      <x:c r="AO27" s="9" t="n">
        <x:f>IF(I27=1,1,0)+IF(Y27=1,1,0)+IF(AI27=1,1,0)+IF(AG27=1,1,0)</x:f>
        <x:v>1</x:v>
      </x:c>
      <x:c r="AP27" s="14" t="n">
        <x:f>(IF(M27="High",3,IF(M27="Medium",2,1))+IF(J27="High",3,IF(J27="Medium",2,1))+IF(Z27="High",3,IF(Z27="Medium",2,1))+IF(AF27="High",3,IF(AF27="Medium",2,1))+IF(AH27="High",3,IF(AH27="Medium",2,1))+IF(AJ27="High",3,IF(AJ27="Medium",2,1))+2)/7</x:f>
        <x:v>2</x:v>
      </x:c>
      <x:c r="AQ27" s="14" t="n">
        <x:f>(IF(P27="High",3,IF(P27="Medium",2,1))+IF(J27="High",3,IF(J27="Medium",2,1))+IF(Z27="High",3,IF(Z27="Medium",2,1))+IF(AF27="High",3,IF(AF27="Medium",2,1))+IF(AH27="High",3,IF(AH27="Medium",2,1))+IF(AJ27="High",3,IF(AJ27="Medium",2,1))+2)/7</x:f>
        <x:v>1.8571428571428572</x:v>
      </x:c>
      <x:c r="AR27" s="9" t="n">
        <x:f>IF(N27="",1,0)+IF(I27="",1,0)+IF(Y27="",1,0)+IF(AI27="",1,0)+IF(AG27="",1,0)+IF(W27="",1,0)+IF(AE27="",1,0)</x:f>
        <x:v>0</x:v>
      </x:c>
      <x:c r="AS27" s="9" t="n">
        <x:f>IF(Q27="",1,0)+IF(I27="",1,0)+IF(Y27="",1,0)+IF(AI27="",1,0)+IF(AG27="",1,0)+IF(X27="",1,0)+IF(AE27="",1,0)</x:f>
        <x:v>0</x:v>
      </x:c>
      <x:c r="AT27" s="9" t="n">
        <x:v>47</x:v>
      </x:c>
      <x:c r="AU27" s="9" t="n">
        <x:v>57</x:v>
      </x:c>
      <x:c r="AV27" s="9" t="str">
        <x:v>Not proposed</x:v>
      </x:c>
      <x:c r="AW27" s="9" t="str"/>
    </x:row>
    <x:row r="28">
      <x:c r="A28" s="9" t="str">
        <x:v>Lincoln</x:v>
      </x:c>
      <x:c r="B28" s="9" t="str">
        <x:v>England</x:v>
      </x:c>
      <x:c r="C28" s="9" t="str">
        <x:v>Lincoln</x:v>
      </x:c>
      <x:c r="D28" s="12" t="n">
        <x:v>53.234841</x:v>
      </x:c>
      <x:c r="E28" s="12" t="n">
        <x:v>-0.53844</x:v>
      </x:c>
      <x:c r="F28" s="9" t="n">
        <x:v>2430</x:v>
      </x:c>
      <x:c r="G28" s="9" t="n">
        <x:v>1967</x:v>
      </x:c>
      <x:c r="H28" s="9" t="str">
        <x:v>data.police.uk street-crime records within 1 mile of Postcodes.io place centroid</x:v>
      </x:c>
      <x:c r="I28" s="9" t="n">
        <x:v>2</x:v>
      </x:c>
      <x:c r="J28" s="9" t="str">
        <x:v>Medium</x:v>
      </x:c>
      <x:c r="K28" s="10" t="n">
        <x:v>118000</x:v>
      </x:c>
      <x:c r="L28" s="9" t="n">
        <x:v>285</x:v>
      </x:c>
      <x:c r="M28" s="9" t="str">
        <x:v>High</x:v>
      </x:c>
      <x:c r="N28" s="9" t="n">
        <x:f>IF(K28&lt;='Methodology'!$B$15,5,IF(K28&gt;='Methodology'!$B$16,1,3))</x:f>
        <x:v>3</x:v>
      </x:c>
      <x:c r="O28" s="10" t="n">
        <x:v>661</x:v>
      </x:c>
      <x:c r="P28" s="9" t="str">
        <x:v>Medium</x:v>
      </x:c>
      <x:c r="Q28" s="9" t="n">
        <x:f>IF(O28&lt;='Methodology'!$B$17,5,IF(O28&gt;='Methodology'!$B$18,1,3))</x:f>
        <x:v>3</x:v>
      </x:c>
      <x:c r="R28" s="9" t="n">
        <x:v>47</x:v>
      </x:c>
      <x:c r="S28" s="9" t="n">
        <x:v>68</x:v>
      </x:c>
      <x:c r="T28" s="9" t="str">
        <x:v>Unclear</x:v>
      </x:c>
      <x:c r="U28" s="9" t="n">
        <x:v>3</x:v>
      </x:c>
      <x:c r="V28" s="9" t="n">
        <x:v>3</x:v>
      </x:c>
      <x:c r="W28" s="13" t="n">
        <x:f>MAX(1,MIN(5,U28+IF(T28="Known",0.5,IF(T28="Likely",0,-0.5))))</x:f>
        <x:v>2.5</x:v>
      </x:c>
      <x:c r="X28" s="13" t="n">
        <x:f>MAX(1,MIN(5,V28+IF(T28="Known",0.5,IF(T28="Likely",0,-0.5))))</x:f>
        <x:v>2.5</x:v>
      </x:c>
      <x:c r="Y28" s="9" t="n">
        <x:v>3</x:v>
      </x:c>
      <x:c r="Z28" s="9" t="str">
        <x:v>Medium</x:v>
      </x:c>
      <x:c r="AA28" s="9" t="n">
        <x:v>120</x:v>
      </x:c>
      <x:c r="AB28" s="9" t="n">
        <x:v>0</x:v>
      </x:c>
      <x:c r="AC28" s="9" t="n">
        <x:v>105</x:v>
      </x:c>
      <x:c r="AD28" s="9" t="n">
        <x:v>1</x:v>
      </x:c>
      <x:c r="AE28" s="9" t="n">
        <x:v>4</x:v>
      </x:c>
      <x:c r="AF28" s="9" t="str">
        <x:v>Medium</x:v>
      </x:c>
      <x:c r="AG28" s="9" t="n">
        <x:v>3</x:v>
      </x:c>
      <x:c r="AH28" s="9" t="str">
        <x:v>Medium</x:v>
      </x:c>
      <x:c r="AI28" s="9" t="n">
        <x:v>4</x:v>
      </x:c>
      <x:c r="AJ28" s="9" t="str">
        <x:v>Medium</x:v>
      </x:c>
      <x:c r="AK28" s="13" t="n">
        <x:f>(N28*15+I28*15+Y28*15+AI28*15+AG28*15+W28*15+AE28*10)*20/(15*COUNT(N28,I28,Y28,AI28,AG28,W28)+10*COUNT(AE28))</x:f>
        <x:v>60.5</x:v>
      </x:c>
      <x:c r="AL28" s="13" t="n">
        <x:f>(Q28*15+I28*15+Y28*15+AI28*15+AG28*15+X28*15+AE28*10)*20/(15*COUNT(Q28,I28,Y28,AI28,AG28,X28)+10*COUNT(AE28))</x:f>
        <x:v>60.5</x:v>
      </x:c>
      <x:c r="AM28" s="13" t="n">
        <x:f>(N28+I28+Y28+AI28+AG28)*15/COUNT(N28,I28,Y28,AI28,AG28)</x:f>
        <x:v>45</x:v>
      </x:c>
      <x:c r="AN28" s="13" t="n">
        <x:f>(Q28+I28+Y28+AI28+AG28)*15/COUNT(Q28,I28,Y28,AI28,AG28)</x:f>
        <x:v>45</x:v>
      </x:c>
      <x:c r="AO28" s="9" t="n">
        <x:f>IF(I28=1,1,0)+IF(Y28=1,1,0)+IF(AI28=1,1,0)+IF(AG28=1,1,0)</x:f>
        <x:v>0</x:v>
      </x:c>
      <x:c r="AP28" s="14" t="n">
        <x:f>(IF(M28="High",3,IF(M28="Medium",2,1))+IF(J28="High",3,IF(J28="Medium",2,1))+IF(Z28="High",3,IF(Z28="Medium",2,1))+IF(AF28="High",3,IF(AF28="Medium",2,1))+IF(AH28="High",3,IF(AH28="Medium",2,1))+IF(AJ28="High",3,IF(AJ28="Medium",2,1))+2)/7</x:f>
        <x:v>2.142857142857143</x:v>
      </x:c>
      <x:c r="AQ28" s="14" t="n">
        <x:f>(IF(P28="High",3,IF(P28="Medium",2,1))+IF(J28="High",3,IF(J28="Medium",2,1))+IF(Z28="High",3,IF(Z28="Medium",2,1))+IF(AF28="High",3,IF(AF28="Medium",2,1))+IF(AH28="High",3,IF(AH28="Medium",2,1))+IF(AJ28="High",3,IF(AJ28="Medium",2,1))+2)/7</x:f>
        <x:v>2</x:v>
      </x:c>
      <x:c r="AR28" s="9" t="n">
        <x:f>IF(N28="",1,0)+IF(I28="",1,0)+IF(Y28="",1,0)+IF(AI28="",1,0)+IF(AG28="",1,0)+IF(W28="",1,0)+IF(AE28="",1,0)</x:f>
        <x:v>0</x:v>
      </x:c>
      <x:c r="AS28" s="9" t="n">
        <x:f>IF(Q28="",1,0)+IF(I28="",1,0)+IF(Y28="",1,0)+IF(AI28="",1,0)+IF(AG28="",1,0)+IF(X28="",1,0)+IF(AE28="",1,0)</x:f>
        <x:v>0</x:v>
      </x:c>
      <x:c r="AT28" s="9" t="n">
        <x:v>44</x:v>
      </x:c>
      <x:c r="AU28" s="9" t="n">
        <x:v>47</x:v>
      </x:c>
      <x:c r="AV28" s="9" t="str">
        <x:v>Not proposed</x:v>
      </x:c>
      <x:c r="AW28" s="9" t="str"/>
    </x:row>
    <x:row r="29">
      <x:c r="A29" s="9" t="str">
        <x:v>Liverpool</x:v>
      </x:c>
      <x:c r="B29" s="9" t="str">
        <x:v>England</x:v>
      </x:c>
      <x:c r="C29" s="9" t="str">
        <x:v>Liverpool</x:v>
      </x:c>
      <x:c r="D29" s="12" t="n">
        <x:v>53.40935</x:v>
      </x:c>
      <x:c r="E29" s="12" t="n">
        <x:v>-2.978495</x:v>
      </x:c>
      <x:c r="F29" s="9" t="n">
        <x:v>6195</x:v>
      </x:c>
      <x:c r="G29" s="9" t="n">
        <x:v>1908</x:v>
      </x:c>
      <x:c r="H29" s="9" t="str">
        <x:v>data.police.uk street-crime records within 1 mile of Postcodes.io place centroid</x:v>
      </x:c>
      <x:c r="I29" s="9" t="n">
        <x:v>1</x:v>
      </x:c>
      <x:c r="J29" s="9" t="str">
        <x:v>Medium</x:v>
      </x:c>
      <x:c r="K29" s="10" t="n">
        <x:v>145000</x:v>
      </x:c>
      <x:c r="L29" s="9" t="n">
        <x:v>2356</x:v>
      </x:c>
      <x:c r="M29" s="9" t="str">
        <x:v>High</x:v>
      </x:c>
      <x:c r="N29" s="9" t="n">
        <x:f>IF(K29&lt;='Methodology'!$B$15,5,IF(K29&gt;='Methodology'!$B$16,1,3))</x:f>
        <x:v>1</x:v>
      </x:c>
      <x:c r="O29" s="10" t="n">
        <x:v>683</x:v>
      </x:c>
      <x:c r="P29" s="9" t="str">
        <x:v>Medium</x:v>
      </x:c>
      <x:c r="Q29" s="9" t="n">
        <x:f>IF(O29&lt;='Methodology'!$B$17,5,IF(O29&gt;='Methodology'!$B$18,1,3))</x:f>
        <x:v>3</x:v>
      </x:c>
      <x:c r="R29" s="9" t="n">
        <x:v>965</x:v>
      </x:c>
      <x:c r="S29" s="9" t="n">
        <x:v>347</x:v>
      </x:c>
      <x:c r="T29" s="9" t="str">
        <x:v>Unclear</x:v>
      </x:c>
      <x:c r="U29" s="9" t="n">
        <x:v>5</x:v>
      </x:c>
      <x:c r="V29" s="9" t="n">
        <x:v>5</x:v>
      </x:c>
      <x:c r="W29" s="13" t="n">
        <x:f>MAX(1,MIN(5,U29+IF(T29="Known",0.5,IF(T29="Likely",0,-0.5))))</x:f>
        <x:v>4.5</x:v>
      </x:c>
      <x:c r="X29" s="13" t="n">
        <x:f>MAX(1,MIN(5,V29+IF(T29="Known",0.5,IF(T29="Likely",0,-0.5))))</x:f>
        <x:v>4.5</x:v>
      </x:c>
      <x:c r="Y29" s="9" t="n">
        <x:v>5</x:v>
      </x:c>
      <x:c r="Z29" s="9" t="str">
        <x:v>High</x:v>
      </x:c>
      <x:c r="AA29" s="9" t="n">
        <x:v>135</x:v>
      </x:c>
      <x:c r="AB29" s="9" t="n">
        <x:v>0</x:v>
      </x:c>
      <x:c r="AC29" s="9" t="n">
        <x:v>95</x:v>
      </x:c>
      <x:c r="AD29" s="9" t="n">
        <x:v>0</x:v>
      </x:c>
      <x:c r="AE29" s="9" t="n">
        <x:v>4</x:v>
      </x:c>
      <x:c r="AF29" s="9" t="str">
        <x:v>Medium</x:v>
      </x:c>
      <x:c r="AG29" s="9" t="n">
        <x:v>2</x:v>
      </x:c>
      <x:c r="AH29" s="9" t="str">
        <x:v>Medium</x:v>
      </x:c>
      <x:c r="AI29" s="9" t="n">
        <x:v>4</x:v>
      </x:c>
      <x:c r="AJ29" s="9" t="str">
        <x:v>Medium</x:v>
      </x:c>
      <x:c r="AK29" s="13" t="n">
        <x:f>(N29*15+I29*15+Y29*15+AI29*15+AG29*15+W29*15+AE29*10)*20/(15*COUNT(N29,I29,Y29,AI29,AG29,W29)+10*COUNT(AE29))</x:f>
        <x:v>60.5</x:v>
      </x:c>
      <x:c r="AL29" s="13" t="n">
        <x:f>(Q29*15+I29*15+Y29*15+AI29*15+AG29*15+X29*15+AE29*10)*20/(15*COUNT(Q29,I29,Y29,AI29,AG29,X29)+10*COUNT(AE29))</x:f>
        <x:v>66.5</x:v>
      </x:c>
      <x:c r="AM29" s="13" t="n">
        <x:f>(N29+I29+Y29+AI29+AG29)*15/COUNT(N29,I29,Y29,AI29,AG29)</x:f>
        <x:v>39</x:v>
      </x:c>
      <x:c r="AN29" s="13" t="n">
        <x:f>(Q29+I29+Y29+AI29+AG29)*15/COUNT(Q29,I29,Y29,AI29,AG29)</x:f>
        <x:v>45</x:v>
      </x:c>
      <x:c r="AO29" s="9" t="n">
        <x:f>IF(I29=1,1,0)+IF(Y29=1,1,0)+IF(AI29=1,1,0)+IF(AG29=1,1,0)</x:f>
        <x:v>1</x:v>
      </x:c>
      <x:c r="AP29" s="14" t="n">
        <x:f>(IF(M29="High",3,IF(M29="Medium",2,1))+IF(J29="High",3,IF(J29="Medium",2,1))+IF(Z29="High",3,IF(Z29="Medium",2,1))+IF(AF29="High",3,IF(AF29="Medium",2,1))+IF(AH29="High",3,IF(AH29="Medium",2,1))+IF(AJ29="High",3,IF(AJ29="Medium",2,1))+2)/7</x:f>
        <x:v>2.2857142857142856</x:v>
      </x:c>
      <x:c r="AQ29" s="14" t="n">
        <x:f>(IF(P29="High",3,IF(P29="Medium",2,1))+IF(J29="High",3,IF(J29="Medium",2,1))+IF(Z29="High",3,IF(Z29="Medium",2,1))+IF(AF29="High",3,IF(AF29="Medium",2,1))+IF(AH29="High",3,IF(AH29="Medium",2,1))+IF(AJ29="High",3,IF(AJ29="Medium",2,1))+2)/7</x:f>
        <x:v>2.142857142857143</x:v>
      </x:c>
      <x:c r="AR29" s="9" t="n">
        <x:f>IF(N29="",1,0)+IF(I29="",1,0)+IF(Y29="",1,0)+IF(AI29="",1,0)+IF(AG29="",1,0)+IF(W29="",1,0)+IF(AE29="",1,0)</x:f>
        <x:v>0</x:v>
      </x:c>
      <x:c r="AS29" s="9" t="n">
        <x:f>IF(Q29="",1,0)+IF(I29="",1,0)+IF(Y29="",1,0)+IF(AI29="",1,0)+IF(AG29="",1,0)+IF(X29="",1,0)+IF(AE29="",1,0)</x:f>
        <x:v>0</x:v>
      </x:c>
      <x:c r="AT29" s="9" t="n">
        <x:v>45</x:v>
      </x:c>
      <x:c r="AU29" s="9" t="n">
        <x:v>17</x:v>
      </x:c>
      <x:c r="AV29" s="9" t="str">
        <x:v>Not proposed</x:v>
      </x:c>
      <x:c r="AW29" s="9" t="str"/>
    </x:row>
    <x:row r="30">
      <x:c r="A30" s="9" t="str">
        <x:v>Loughborough</x:v>
      </x:c>
      <x:c r="B30" s="9" t="str">
        <x:v>England</x:v>
      </x:c>
      <x:c r="C30" s="9" t="str">
        <x:v>Charnwood</x:v>
      </x:c>
      <x:c r="D30" s="12" t="n">
        <x:v>52.7721</x:v>
      </x:c>
      <x:c r="E30" s="12" t="n">
        <x:v>-1.206164</x:v>
      </x:c>
      <x:c r="F30" s="9" t="n">
        <x:v>1448</x:v>
      </x:c>
      <x:c r="G30" s="9" t="n">
        <x:v>703</x:v>
      </x:c>
      <x:c r="H30" s="9" t="str">
        <x:v>data.police.uk street-crime records within 1 mile of Postcodes.io place centroid</x:v>
      </x:c>
      <x:c r="I30" s="9" t="n">
        <x:v>5</x:v>
      </x:c>
      <x:c r="J30" s="9" t="str">
        <x:v>Medium</x:v>
      </x:c>
      <x:c r="K30" s="10" t="n">
        <x:v>132000</x:v>
      </x:c>
      <x:c r="L30" s="9" t="n">
        <x:v>206</x:v>
      </x:c>
      <x:c r="M30" s="9" t="str">
        <x:v>High</x:v>
      </x:c>
      <x:c r="N30" s="9" t="n">
        <x:f>IF(K30&lt;='Methodology'!$B$15,5,IF(K30&gt;='Methodology'!$B$16,1,3))</x:f>
        <x:v>3</x:v>
      </x:c>
      <x:c r="O30" s="10" t="n">
        <x:v>677</x:v>
      </x:c>
      <x:c r="P30" s="9" t="str">
        <x:v>Medium</x:v>
      </x:c>
      <x:c r="Q30" s="9" t="n">
        <x:f>IF(O30&lt;='Methodology'!$B$17,5,IF(O30&gt;='Methodology'!$B$18,1,3))</x:f>
        <x:v>3</x:v>
      </x:c>
      <x:c r="R30" s="9" t="n">
        <x:v>17</x:v>
      </x:c>
      <x:c r="S30" s="9" t="n">
        <x:v>20</x:v>
      </x:c>
      <x:c r="T30" s="9" t="str">
        <x:v>Unclear</x:v>
      </x:c>
      <x:c r="U30" s="9" t="n">
        <x:v>2</x:v>
      </x:c>
      <x:c r="V30" s="9" t="n">
        <x:v>2</x:v>
      </x:c>
      <x:c r="W30" s="13" t="n">
        <x:f>MAX(1,MIN(5,U30+IF(T30="Known",0.5,IF(T30="Likely",0,-0.5))))</x:f>
        <x:v>1.5</x:v>
      </x:c>
      <x:c r="X30" s="13" t="n">
        <x:f>MAX(1,MIN(5,V30+IF(T30="Known",0.5,IF(T30="Likely",0,-0.5))))</x:f>
        <x:v>1.5</x:v>
      </x:c>
      <x:c r="Y30" s="9" t="n">
        <x:v>3</x:v>
      </x:c>
      <x:c r="Z30" s="9" t="str">
        <x:v>Medium</x:v>
      </x:c>
      <x:c r="AA30" s="9" t="n">
        <x:v>75</x:v>
      </x:c>
      <x:c r="AB30" s="9" t="n">
        <x:v>0</x:v>
      </x:c>
      <x:c r="AC30" s="9" t="n">
        <x:v>75</x:v>
      </x:c>
      <x:c r="AD30" s="9" t="n">
        <x:v>0</x:v>
      </x:c>
      <x:c r="AE30" s="9" t="n">
        <x:v>5</x:v>
      </x:c>
      <x:c r="AF30" s="9" t="str">
        <x:v>Medium</x:v>
      </x:c>
      <x:c r="AG30" s="9" t="n">
        <x:v>3</x:v>
      </x:c>
      <x:c r="AH30" s="9" t="str">
        <x:v>Medium</x:v>
      </x:c>
      <x:c r="AI30" s="9" t="n">
        <x:v>3</x:v>
      </x:c>
      <x:c r="AJ30" s="9" t="str">
        <x:v>Low</x:v>
      </x:c>
      <x:c r="AK30" s="13" t="n">
        <x:f>(N30*15+I30*15+Y30*15+AI30*15+AG30*15+W30*15+AE30*10)*20/(15*COUNT(N30,I30,Y30,AI30,AG30,W30)+10*COUNT(AE30))</x:f>
        <x:v>65.5</x:v>
      </x:c>
      <x:c r="AL30" s="13" t="n">
        <x:f>(Q30*15+I30*15+Y30*15+AI30*15+AG30*15+X30*15+AE30*10)*20/(15*COUNT(Q30,I30,Y30,AI30,AG30,X30)+10*COUNT(AE30))</x:f>
        <x:v>65.5</x:v>
      </x:c>
      <x:c r="AM30" s="13" t="n">
        <x:f>(N30+I30+Y30+AI30+AG30)*15/COUNT(N30,I30,Y30,AI30,AG30)</x:f>
        <x:v>51</x:v>
      </x:c>
      <x:c r="AN30" s="13" t="n">
        <x:f>(Q30+I30+Y30+AI30+AG30)*15/COUNT(Q30,I30,Y30,AI30,AG30)</x:f>
        <x:v>51</x:v>
      </x:c>
      <x:c r="AO30" s="9" t="n">
        <x:f>IF(I30=1,1,0)+IF(Y30=1,1,0)+IF(AI30=1,1,0)+IF(AG30=1,1,0)</x:f>
        <x:v>0</x:v>
      </x:c>
      <x:c r="AP30" s="14" t="n">
        <x:f>(IF(M30="High",3,IF(M30="Medium",2,1))+IF(J30="High",3,IF(J30="Medium",2,1))+IF(Z30="High",3,IF(Z30="Medium",2,1))+IF(AF30="High",3,IF(AF30="Medium",2,1))+IF(AH30="High",3,IF(AH30="Medium",2,1))+IF(AJ30="High",3,IF(AJ30="Medium",2,1))+2)/7</x:f>
        <x:v>2</x:v>
      </x:c>
      <x:c r="AQ30" s="14" t="n">
        <x:f>(IF(P30="High",3,IF(P30="Medium",2,1))+IF(J30="High",3,IF(J30="Medium",2,1))+IF(Z30="High",3,IF(Z30="Medium",2,1))+IF(AF30="High",3,IF(AF30="Medium",2,1))+IF(AH30="High",3,IF(AH30="Medium",2,1))+IF(AJ30="High",3,IF(AJ30="Medium",2,1))+2)/7</x:f>
        <x:v>1.8571428571428572</x:v>
      </x:c>
      <x:c r="AR30" s="9" t="n">
        <x:f>IF(N30="",1,0)+IF(I30="",1,0)+IF(Y30="",1,0)+IF(AI30="",1,0)+IF(AG30="",1,0)+IF(W30="",1,0)+IF(AE30="",1,0)</x:f>
        <x:v>0</x:v>
      </x:c>
      <x:c r="AS30" s="9" t="n">
        <x:f>IF(Q30="",1,0)+IF(I30="",1,0)+IF(Y30="",1,0)+IF(AI30="",1,0)+IF(AG30="",1,0)+IF(X30="",1,0)+IF(AE30="",1,0)</x:f>
        <x:v>0</x:v>
      </x:c>
      <x:c r="AT30" s="9" t="n">
        <x:v>16</x:v>
      </x:c>
      <x:c r="AU30" s="9" t="n">
        <x:v>19</x:v>
      </x:c>
      <x:c r="AV30" s="9" t="str">
        <x:v>Not proposed</x:v>
      </x:c>
      <x:c r="AW30" s="9" t="str"/>
    </x:row>
    <x:row r="31">
      <x:c r="A31" s="9" t="str">
        <x:v>Manchester</x:v>
      </x:c>
      <x:c r="B31" s="9" t="str">
        <x:v>England</x:v>
      </x:c>
      <x:c r="C31" s="9" t="str">
        <x:v>Manchester</x:v>
      </x:c>
      <x:c r="D31" s="12" t="n">
        <x:v>53.47894</x:v>
      </x:c>
      <x:c r="E31" s="12" t="n">
        <x:v>-2.245278</x:v>
      </x:c>
      <x:c r="F31" s="9"/>
      <x:c r="G31" s="9"/>
      <x:c r="H31" s="9" t="str">
        <x:v>data.police.uk street-crime records within 1 mile of Postcodes.io place centroid</x:v>
      </x:c>
      <x:c r="I31" s="9"/>
      <x:c r="J31" s="9" t="str">
        <x:v>Low</x:v>
      </x:c>
      <x:c r="K31" s="10" t="n">
        <x:v>192500</x:v>
      </x:c>
      <x:c r="L31" s="9" t="n">
        <x:v>4478</x:v>
      </x:c>
      <x:c r="M31" s="9" t="str">
        <x:v>High</x:v>
      </x:c>
      <x:c r="N31" s="9" t="n">
        <x:f>IF(K31&lt;='Methodology'!$B$15,5,IF(K31&gt;='Methodology'!$B$16,1,3))</x:f>
        <x:v>1</x:v>
      </x:c>
      <x:c r="O31" s="10" t="n">
        <x:v>998</x:v>
      </x:c>
      <x:c r="P31" s="9" t="str">
        <x:v>Medium</x:v>
      </x:c>
      <x:c r="Q31" s="9" t="n">
        <x:f>IF(O31&lt;='Methodology'!$B$17,5,IF(O31&gt;='Methodology'!$B$18,1,3))</x:f>
        <x:v>1</x:v>
      </x:c>
      <x:c r="R31" s="9" t="n">
        <x:v>1372</x:v>
      </x:c>
      <x:c r="S31" s="9" t="n">
        <x:v>1456</x:v>
      </x:c>
      <x:c r="T31" s="9" t="str">
        <x:v>Unclear</x:v>
      </x:c>
      <x:c r="U31" s="9" t="n">
        <x:v>5</x:v>
      </x:c>
      <x:c r="V31" s="9" t="n">
        <x:v>5</x:v>
      </x:c>
      <x:c r="W31" s="13" t="n">
        <x:f>MAX(1,MIN(5,U31+IF(T31="Known",0.5,IF(T31="Likely",0,-0.5))))</x:f>
        <x:v>4.5</x:v>
      </x:c>
      <x:c r="X31" s="13" t="n">
        <x:f>MAX(1,MIN(5,V31+IF(T31="Known",0.5,IF(T31="Likely",0,-0.5))))</x:f>
        <x:v>4.5</x:v>
      </x:c>
      <x:c r="Y31" s="9" t="n">
        <x:v>5</x:v>
      </x:c>
      <x:c r="Z31" s="9" t="str">
        <x:v>High</x:v>
      </x:c>
      <x:c r="AA31" s="9" t="n">
        <x:v>125</x:v>
      </x:c>
      <x:c r="AB31" s="9" t="n">
        <x:v>0</x:v>
      </x:c>
      <x:c r="AC31" s="9" t="n">
        <x:v>90</x:v>
      </x:c>
      <x:c r="AD31" s="9" t="n">
        <x:v>0</x:v>
      </x:c>
      <x:c r="AE31" s="9" t="n">
        <x:v>4</x:v>
      </x:c>
      <x:c r="AF31" s="9" t="str">
        <x:v>Medium</x:v>
      </x:c>
      <x:c r="AG31" s="9" t="n">
        <x:v>2</x:v>
      </x:c>
      <x:c r="AH31" s="9" t="str">
        <x:v>Medium</x:v>
      </x:c>
      <x:c r="AI31" s="9" t="n">
        <x:v>4</x:v>
      </x:c>
      <x:c r="AJ31" s="9" t="str">
        <x:v>Medium</x:v>
      </x:c>
      <x:c r="AK31" s="13" t="n">
        <x:f>(N31*15+I31*15+Y31*15+AI31*15+AG31*15+W31*15+AE31*10)*20/(15*COUNT(N31,I31,Y31,AI31,AG31,W31)+10*COUNT(AE31))</x:f>
        <x:v>67.6470588235294</x:v>
      </x:c>
      <x:c r="AL31" s="13" t="n">
        <x:f>(Q31*15+I31*15+Y31*15+AI31*15+AG31*15+X31*15+AE31*10)*20/(15*COUNT(Q31,I31,Y31,AI31,AG31,X31)+10*COUNT(AE31))</x:f>
        <x:v>67.6470588235294</x:v>
      </x:c>
      <x:c r="AM31" s="13" t="n">
        <x:f>(N31+I31+Y31+AI31+AG31)*15/COUNT(N31,I31,Y31,AI31,AG31)</x:f>
        <x:v>45</x:v>
      </x:c>
      <x:c r="AN31" s="13" t="n">
        <x:f>(Q31+I31+Y31+AI31+AG31)*15/COUNT(Q31,I31,Y31,AI31,AG31)</x:f>
        <x:v>45</x:v>
      </x:c>
      <x:c r="AO31" s="9" t="n">
        <x:f>IF(I31=1,1,0)+IF(Y31=1,1,0)+IF(AI31=1,1,0)+IF(AG31=1,1,0)</x:f>
        <x:v>0</x:v>
      </x:c>
      <x:c r="AP31" s="14" t="n">
        <x:f>(IF(M31="High",3,IF(M31="Medium",2,1))+IF(J31="High",3,IF(J31="Medium",2,1))+IF(Z31="High",3,IF(Z31="Medium",2,1))+IF(AF31="High",3,IF(AF31="Medium",2,1))+IF(AH31="High",3,IF(AH31="Medium",2,1))+IF(AJ31="High",3,IF(AJ31="Medium",2,1))+2)/7</x:f>
        <x:v>2.142857142857143</x:v>
      </x:c>
      <x:c r="AQ31" s="14" t="n">
        <x:f>(IF(P31="High",3,IF(P31="Medium",2,1))+IF(J31="High",3,IF(J31="Medium",2,1))+IF(Z31="High",3,IF(Z31="Medium",2,1))+IF(AF31="High",3,IF(AF31="Medium",2,1))+IF(AH31="High",3,IF(AH31="Medium",2,1))+IF(AJ31="High",3,IF(AJ31="Medium",2,1))+2)/7</x:f>
        <x:v>2</x:v>
      </x:c>
      <x:c r="AR31" s="9" t="n">
        <x:f>IF(N31="",1,0)+IF(I31="",1,0)+IF(Y31="",1,0)+IF(AI31="",1,0)+IF(AG31="",1,0)+IF(W31="",1,0)+IF(AE31="",1,0)</x:f>
        <x:v>1</x:v>
      </x:c>
      <x:c r="AS31" s="9" t="n">
        <x:f>IF(Q31="",1,0)+IF(I31="",1,0)+IF(Y31="",1,0)+IF(AI31="",1,0)+IF(AG31="",1,0)+IF(X31="",1,0)+IF(AE31="",1,0)</x:f>
        <x:v>1</x:v>
      </x:c>
      <x:c r="AT31" s="9" t="n">
        <x:v>9</x:v>
      </x:c>
      <x:c r="AU31" s="9" t="n">
        <x:v>11</x:v>
      </x:c>
      <x:c r="AV31" s="9" t="str">
        <x:v>Proposed</x:v>
      </x:c>
      <x:c r="AW31" s="9" t="str">
        <x:v>Both</x:v>
      </x:c>
    </x:row>
    <x:row r="32">
      <x:c r="A32" s="9" t="str">
        <x:v>Merthyr Tydfil</x:v>
      </x:c>
      <x:c r="B32" s="9" t="str">
        <x:v>Wales</x:v>
      </x:c>
      <x:c r="C32" s="9" t="str">
        <x:v>Merthyr Tydfil</x:v>
      </x:c>
      <x:c r="D32" s="12" t="n">
        <x:v>51.745911</x:v>
      </x:c>
      <x:c r="E32" s="12" t="n">
        <x:v>-3.378347</x:v>
      </x:c>
      <x:c r="F32" s="9" t="n">
        <x:v>878</x:v>
      </x:c>
      <x:c r="G32" s="9" t="n">
        <x:v>417</x:v>
      </x:c>
      <x:c r="H32" s="9" t="str">
        <x:v>data.police.uk street-crime records within 1 mile of Postcodes.io place centroid</x:v>
      </x:c>
      <x:c r="I32" s="9" t="n">
        <x:v>5</x:v>
      </x:c>
      <x:c r="J32" s="9" t="str">
        <x:v>Medium</x:v>
      </x:c>
      <x:c r="K32" s="10" t="n">
        <x:v>66248</x:v>
      </x:c>
      <x:c r="L32" s="9" t="n">
        <x:v>22</x:v>
      </x:c>
      <x:c r="M32" s="9" t="str">
        <x:v>Low</x:v>
      </x:c>
      <x:c r="N32" s="9" t="n">
        <x:f>IF(K32&lt;='Methodology'!$B$15,5,IF(K32&gt;='Methodology'!$B$16,1,3))</x:f>
        <x:v>5</x:v>
      </x:c>
      <x:c r="O32" s="10" t="n">
        <x:v>552</x:v>
      </x:c>
      <x:c r="P32" s="9" t="str">
        <x:v>Medium</x:v>
      </x:c>
      <x:c r="Q32" s="9" t="n">
        <x:f>IF(O32&lt;='Methodology'!$B$17,5,IF(O32&gt;='Methodology'!$B$18,1,3))</x:f>
        <x:v>5</x:v>
      </x:c>
      <x:c r="R32" s="9" t="n">
        <x:v>3</x:v>
      </x:c>
      <x:c r="S32" s="9" t="n">
        <x:v>3</x:v>
      </x:c>
      <x:c r="T32" s="9" t="str">
        <x:v>Unclear</x:v>
      </x:c>
      <x:c r="U32" s="9" t="n">
        <x:v>1</x:v>
      </x:c>
      <x:c r="V32" s="9" t="n">
        <x:v>1</x:v>
      </x:c>
      <x:c r="W32" s="13" t="n">
        <x:f>MAX(1,MIN(5,U32+IF(T32="Known",0.5,IF(T32="Likely",0,-0.5))))</x:f>
        <x:v>1</x:v>
      </x:c>
      <x:c r="X32" s="13" t="n">
        <x:f>MAX(1,MIN(5,V32+IF(T32="Known",0.5,IF(T32="Likely",0,-0.5))))</x:f>
        <x:v>1</x:v>
      </x:c>
      <x:c r="Y32" s="9" t="n">
        <x:v>3</x:v>
      </x:c>
      <x:c r="Z32" s="9" t="str">
        <x:v>High</x:v>
      </x:c>
      <x:c r="AA32" s="9" t="n">
        <x:v>205</x:v>
      </x:c>
      <x:c r="AB32" s="9" t="n">
        <x:v>1</x:v>
      </x:c>
      <x:c r="AC32" s="9" t="n">
        <x:v>185</x:v>
      </x:c>
      <x:c r="AD32" s="9" t="n">
        <x:v>2</x:v>
      </x:c>
      <x:c r="AE32" s="9" t="n">
        <x:v>2</x:v>
      </x:c>
      <x:c r="AF32" s="9" t="str">
        <x:v>Medium</x:v>
      </x:c>
      <x:c r="AG32" s="9" t="n">
        <x:v>3</x:v>
      </x:c>
      <x:c r="AH32" s="9" t="str">
        <x:v>Medium</x:v>
      </x:c>
      <x:c r="AI32" s="9" t="n">
        <x:v>2</x:v>
      </x:c>
      <x:c r="AJ32" s="9" t="str">
        <x:v>Low</x:v>
      </x:c>
      <x:c r="AK32" s="13" t="n">
        <x:f>(N32*15+I32*15+Y32*15+AI32*15+AG32*15+W32*15+AE32*10)*20/(15*COUNT(N32,I32,Y32,AI32,AG32,W32)+10*COUNT(AE32))</x:f>
        <x:v>61</x:v>
      </x:c>
      <x:c r="AL32" s="13" t="n">
        <x:f>(Q32*15+I32*15+Y32*15+AI32*15+AG32*15+X32*15+AE32*10)*20/(15*COUNT(Q32,I32,Y32,AI32,AG32,X32)+10*COUNT(AE32))</x:f>
        <x:v>61</x:v>
      </x:c>
      <x:c r="AM32" s="13" t="n">
        <x:f>(N32+I32+Y32+AI32+AG32)*15/COUNT(N32,I32,Y32,AI32,AG32)</x:f>
        <x:v>54</x:v>
      </x:c>
      <x:c r="AN32" s="13" t="n">
        <x:f>(Q32+I32+Y32+AI32+AG32)*15/COUNT(Q32,I32,Y32,AI32,AG32)</x:f>
        <x:v>54</x:v>
      </x:c>
      <x:c r="AO32" s="9" t="n">
        <x:f>IF(I32=1,1,0)+IF(Y32=1,1,0)+IF(AI32=1,1,0)+IF(AG32=1,1,0)</x:f>
        <x:v>0</x:v>
      </x:c>
      <x:c r="AP32" s="14" t="n">
        <x:f>(IF(M32="High",3,IF(M32="Medium",2,1))+IF(J32="High",3,IF(J32="Medium",2,1))+IF(Z32="High",3,IF(Z32="Medium",2,1))+IF(AF32="High",3,IF(AF32="Medium",2,1))+IF(AH32="High",3,IF(AH32="Medium",2,1))+IF(AJ32="High",3,IF(AJ32="Medium",2,1))+1)/7</x:f>
        <x:v>1.7142857142857142</x:v>
      </x:c>
      <x:c r="AQ32" s="14" t="n">
        <x:f>(IF(P32="High",3,IF(P32="Medium",2,1))+IF(J32="High",3,IF(J32="Medium",2,1))+IF(Z32="High",3,IF(Z32="Medium",2,1))+IF(AF32="High",3,IF(AF32="Medium",2,1))+IF(AH32="High",3,IF(AH32="Medium",2,1))+IF(AJ32="High",3,IF(AJ32="Medium",2,1))+1)/7</x:f>
        <x:v>1.8571428571428572</x:v>
      </x:c>
      <x:c r="AR32" s="9" t="n">
        <x:f>IF(N32="",1,0)+IF(I32="",1,0)+IF(Y32="",1,0)+IF(AI32="",1,0)+IF(AG32="",1,0)+IF(W32="",1,0)+IF(AE32="",1,0)</x:f>
        <x:v>0</x:v>
      </x:c>
      <x:c r="AS32" s="9" t="n">
        <x:f>IF(Q32="",1,0)+IF(I32="",1,0)+IF(Y32="",1,0)+IF(AI32="",1,0)+IF(AG32="",1,0)+IF(X32="",1,0)+IF(AE32="",1,0)</x:f>
        <x:v>0</x:v>
      </x:c>
      <x:c r="AT32" s="9" t="n">
        <x:v>42</x:v>
      </x:c>
      <x:c r="AU32" s="9" t="n">
        <x:v>44</x:v>
      </x:c>
      <x:c r="AV32" s="9" t="str">
        <x:v>Not proposed</x:v>
      </x:c>
      <x:c r="AW32" s="9" t="str"/>
    </x:row>
    <x:row r="33">
      <x:c r="A33" s="9" t="str">
        <x:v>Middlesbrough</x:v>
      </x:c>
      <x:c r="B33" s="9" t="str">
        <x:v>England</x:v>
      </x:c>
      <x:c r="C33" s="9" t="str">
        <x:v>Middlesbrough</x:v>
      </x:c>
      <x:c r="D33" s="12" t="n">
        <x:v>54.576431</x:v>
      </x:c>
      <x:c r="E33" s="12" t="n">
        <x:v>-1.236825</x:v>
      </x:c>
      <x:c r="F33" s="9" t="n">
        <x:v>3270</x:v>
      </x:c>
      <x:c r="G33" s="9" t="n">
        <x:v>1498</x:v>
      </x:c>
      <x:c r="H33" s="9" t="str">
        <x:v>data.police.uk street-crime records within 1 mile of Postcodes.io place centroid</x:v>
      </x:c>
      <x:c r="I33" s="9" t="n">
        <x:v>2</x:v>
      </x:c>
      <x:c r="J33" s="9" t="str">
        <x:v>Medium</x:v>
      </x:c>
      <x:c r="K33" s="10" t="n">
        <x:v>85000</x:v>
      </x:c>
      <x:c r="L33" s="9" t="n">
        <x:v>183</x:v>
      </x:c>
      <x:c r="M33" s="9" t="str">
        <x:v>High</x:v>
      </x:c>
      <x:c r="N33" s="9" t="n">
        <x:f>IF(K33&lt;='Methodology'!$B$15,5,IF(K33&gt;='Methodology'!$B$16,1,3))</x:f>
        <x:v>5</x:v>
      </x:c>
      <x:c r="O33" s="10" t="n">
        <x:v>499</x:v>
      </x:c>
      <x:c r="P33" s="9" t="str">
        <x:v>Medium</x:v>
      </x:c>
      <x:c r="Q33" s="9" t="n">
        <x:f>IF(O33&lt;='Methodology'!$B$17,5,IF(O33&gt;='Methodology'!$B$18,1,3))</x:f>
        <x:v>5</x:v>
      </x:c>
      <x:c r="R33" s="9" t="n">
        <x:v>14</x:v>
      </x:c>
      <x:c r="S33" s="9" t="n">
        <x:v>50</x:v>
      </x:c>
      <x:c r="T33" s="9" t="str">
        <x:v>Unclear</x:v>
      </x:c>
      <x:c r="U33" s="9" t="n">
        <x:v>2</x:v>
      </x:c>
      <x:c r="V33" s="9" t="n">
        <x:v>3</x:v>
      </x:c>
      <x:c r="W33" s="13" t="n">
        <x:f>MAX(1,MIN(5,U33+IF(T33="Known",0.5,IF(T33="Likely",0,-0.5))))</x:f>
        <x:v>1.5</x:v>
      </x:c>
      <x:c r="X33" s="13" t="n">
        <x:f>MAX(1,MIN(5,V33+IF(T33="Known",0.5,IF(T33="Likely",0,-0.5))))</x:f>
        <x:v>2.5</x:v>
      </x:c>
      <x:c r="Y33" s="9" t="n">
        <x:v>4</x:v>
      </x:c>
      <x:c r="Z33" s="9" t="str">
        <x:v>Medium</x:v>
      </x:c>
      <x:c r="AA33" s="9" t="n">
        <x:v>180</x:v>
      </x:c>
      <x:c r="AB33" s="9" t="n">
        <x:v>0</x:v>
      </x:c>
      <x:c r="AC33" s="9" t="n">
        <x:v>175</x:v>
      </x:c>
      <x:c r="AD33" s="9" t="n">
        <x:v>0</x:v>
      </x:c>
      <x:c r="AE33" s="9" t="n">
        <x:v>3</x:v>
      </x:c>
      <x:c r="AF33" s="9" t="str">
        <x:v>Medium</x:v>
      </x:c>
      <x:c r="AG33" s="9" t="n">
        <x:v>2</x:v>
      </x:c>
      <x:c r="AH33" s="9" t="str">
        <x:v>Medium</x:v>
      </x:c>
      <x:c r="AI33" s="9" t="n">
        <x:v>2</x:v>
      </x:c>
      <x:c r="AJ33" s="9" t="str">
        <x:v>Low</x:v>
      </x:c>
      <x:c r="AK33" s="13" t="n">
        <x:f>(N33*15+I33*15+Y33*15+AI33*15+AG33*15+W33*15+AE33*10)*20/(15*COUNT(N33,I33,Y33,AI33,AG33,W33)+10*COUNT(AE33))</x:f>
        <x:v>55.5</x:v>
      </x:c>
      <x:c r="AL33" s="13" t="n">
        <x:f>(Q33*15+I33*15+Y33*15+AI33*15+AG33*15+X33*15+AE33*10)*20/(15*COUNT(Q33,I33,Y33,AI33,AG33,X33)+10*COUNT(AE33))</x:f>
        <x:v>58.5</x:v>
      </x:c>
      <x:c r="AM33" s="13" t="n">
        <x:f>(N33+I33+Y33+AI33+AG33)*15/COUNT(N33,I33,Y33,AI33,AG33)</x:f>
        <x:v>45</x:v>
      </x:c>
      <x:c r="AN33" s="13" t="n">
        <x:f>(Q33+I33+Y33+AI33+AG33)*15/COUNT(Q33,I33,Y33,AI33,AG33)</x:f>
        <x:v>45</x:v>
      </x:c>
      <x:c r="AO33" s="9" t="n">
        <x:f>IF(I33=1,1,0)+IF(Y33=1,1,0)+IF(AI33=1,1,0)+IF(AG33=1,1,0)</x:f>
        <x:v>0</x:v>
      </x:c>
      <x:c r="AP33" s="14" t="n">
        <x:f>(IF(M33="High",3,IF(M33="Medium",2,1))+IF(J33="High",3,IF(J33="Medium",2,1))+IF(Z33="High",3,IF(Z33="Medium",2,1))+IF(AF33="High",3,IF(AF33="Medium",2,1))+IF(AH33="High",3,IF(AH33="Medium",2,1))+IF(AJ33="High",3,IF(AJ33="Medium",2,1))+2)/7</x:f>
        <x:v>2</x:v>
      </x:c>
      <x:c r="AQ33" s="14" t="n">
        <x:f>(IF(P33="High",3,IF(P33="Medium",2,1))+IF(J33="High",3,IF(J33="Medium",2,1))+IF(Z33="High",3,IF(Z33="Medium",2,1))+IF(AF33="High",3,IF(AF33="Medium",2,1))+IF(AH33="High",3,IF(AH33="Medium",2,1))+IF(AJ33="High",3,IF(AJ33="Medium",2,1))+2)/7</x:f>
        <x:v>1.8571428571428572</x:v>
      </x:c>
      <x:c r="AR33" s="9" t="n">
        <x:f>IF(N33="",1,0)+IF(I33="",1,0)+IF(Y33="",1,0)+IF(AI33="",1,0)+IF(AG33="",1,0)+IF(W33="",1,0)+IF(AE33="",1,0)</x:f>
        <x:v>0</x:v>
      </x:c>
      <x:c r="AS33" s="9" t="n">
        <x:f>IF(Q33="",1,0)+IF(I33="",1,0)+IF(Y33="",1,0)+IF(AI33="",1,0)+IF(AG33="",1,0)+IF(X33="",1,0)+IF(AE33="",1,0)</x:f>
        <x:v>0</x:v>
      </x:c>
      <x:c r="AT33" s="9" t="n">
        <x:v>60</x:v>
      </x:c>
      <x:c r="AU33" s="9" t="n">
        <x:v>51</x:v>
      </x:c>
      <x:c r="AV33" s="9" t="str">
        <x:v>Not proposed</x:v>
      </x:c>
      <x:c r="AW33" s="9" t="str"/>
    </x:row>
    <x:row r="34">
      <x:c r="A34" s="9" t="str">
        <x:v>Neath</x:v>
      </x:c>
      <x:c r="B34" s="9" t="str">
        <x:v>Wales</x:v>
      </x:c>
      <x:c r="C34" s="9" t="str">
        <x:v>Neath Port Talbot</x:v>
      </x:c>
      <x:c r="D34" s="12" t="n">
        <x:v>51.664226</x:v>
      </x:c>
      <x:c r="E34" s="12" t="n">
        <x:v>-3.803389</x:v>
      </x:c>
      <x:c r="F34" s="9" t="n">
        <x:v>1009</x:v>
      </x:c>
      <x:c r="G34" s="9" t="n">
        <x:v>319</x:v>
      </x:c>
      <x:c r="H34" s="9" t="str">
        <x:v>data.police.uk street-crime records within 1 mile of Postcodes.io place centroid</x:v>
      </x:c>
      <x:c r="I34" s="9" t="n">
        <x:v>5</x:v>
      </x:c>
      <x:c r="J34" s="9" t="str">
        <x:v>Medium</x:v>
      </x:c>
      <x:c r="K34" s="10" t="n">
        <x:v>91250</x:v>
      </x:c>
      <x:c r="L34" s="9" t="n">
        <x:v>42</x:v>
      </x:c>
      <x:c r="M34" s="9" t="str">
        <x:v>Medium</x:v>
      </x:c>
      <x:c r="N34" s="9" t="n">
        <x:f>IF(K34&lt;='Methodology'!$B$15,5,IF(K34&gt;='Methodology'!$B$16,1,3))</x:f>
        <x:v>5</x:v>
      </x:c>
      <x:c r="O34" s="10" t="n">
        <x:v>498</x:v>
      </x:c>
      <x:c r="P34" s="9" t="str">
        <x:v>Medium</x:v>
      </x:c>
      <x:c r="Q34" s="9" t="n">
        <x:f>IF(O34&lt;='Methodology'!$B$17,5,IF(O34&gt;='Methodology'!$B$18,1,3))</x:f>
        <x:v>5</x:v>
      </x:c>
      <x:c r="R34" s="9" t="n">
        <x:v>3</x:v>
      </x:c>
      <x:c r="S34" s="9" t="n">
        <x:v>3</x:v>
      </x:c>
      <x:c r="T34" s="9" t="str">
        <x:v>Unclear</x:v>
      </x:c>
      <x:c r="U34" s="9" t="n">
        <x:v>1</x:v>
      </x:c>
      <x:c r="V34" s="9" t="n">
        <x:v>1</x:v>
      </x:c>
      <x:c r="W34" s="13" t="n">
        <x:f>MAX(1,MIN(5,U34+IF(T34="Known",0.5,IF(T34="Likely",0,-0.5))))</x:f>
        <x:v>1</x:v>
      </x:c>
      <x:c r="X34" s="13" t="n">
        <x:f>MAX(1,MIN(5,V34+IF(T34="Known",0.5,IF(T34="Likely",0,-0.5))))</x:f>
        <x:v>1</x:v>
      </x:c>
      <x:c r="Y34" s="9" t="n">
        <x:v>3</x:v>
      </x:c>
      <x:c r="Z34" s="9" t="str">
        <x:v>High</x:v>
      </x:c>
      <x:c r="AA34" s="9" t="n">
        <x:v>150</x:v>
      </x:c>
      <x:c r="AB34" s="9" t="n">
        <x:v>0</x:v>
      </x:c>
      <x:c r="AC34" s="9" t="n">
        <x:v>165</x:v>
      </x:c>
      <x:c r="AD34" s="9" t="n">
        <x:v>1</x:v>
      </x:c>
      <x:c r="AE34" s="9" t="n">
        <x:v>3</x:v>
      </x:c>
      <x:c r="AF34" s="9" t="str">
        <x:v>Medium</x:v>
      </x:c>
      <x:c r="AG34" s="9" t="n">
        <x:v>3</x:v>
      </x:c>
      <x:c r="AH34" s="9" t="str">
        <x:v>Medium</x:v>
      </x:c>
      <x:c r="AI34" s="9" t="n">
        <x:v>3</x:v>
      </x:c>
      <x:c r="AJ34" s="9" t="str">
        <x:v>Low</x:v>
      </x:c>
      <x:c r="AK34" s="13" t="n">
        <x:f>(N34*15+I34*15+Y34*15+AI34*15+AG34*15+W34*15+AE34*10)*20/(15*COUNT(N34,I34,Y34,AI34,AG34,W34)+10*COUNT(AE34))</x:f>
        <x:v>66</x:v>
      </x:c>
      <x:c r="AL34" s="13" t="n">
        <x:f>(Q34*15+I34*15+Y34*15+AI34*15+AG34*15+X34*15+AE34*10)*20/(15*COUNT(Q34,I34,Y34,AI34,AG34,X34)+10*COUNT(AE34))</x:f>
        <x:v>66</x:v>
      </x:c>
      <x:c r="AM34" s="13" t="n">
        <x:f>(N34+I34+Y34+AI34+AG34)*15/COUNT(N34,I34,Y34,AI34,AG34)</x:f>
        <x:v>57</x:v>
      </x:c>
      <x:c r="AN34" s="13" t="n">
        <x:f>(Q34+I34+Y34+AI34+AG34)*15/COUNT(Q34,I34,Y34,AI34,AG34)</x:f>
        <x:v>57</x:v>
      </x:c>
      <x:c r="AO34" s="9" t="n">
        <x:f>IF(I34=1,1,0)+IF(Y34=1,1,0)+IF(AI34=1,1,0)+IF(AG34=1,1,0)</x:f>
        <x:v>0</x:v>
      </x:c>
      <x:c r="AP34" s="14" t="n">
        <x:f>(IF(M34="High",3,IF(M34="Medium",2,1))+IF(J34="High",3,IF(J34="Medium",2,1))+IF(Z34="High",3,IF(Z34="Medium",2,1))+IF(AF34="High",3,IF(AF34="Medium",2,1))+IF(AH34="High",3,IF(AH34="Medium",2,1))+IF(AJ34="High",3,IF(AJ34="Medium",2,1))+1)/7</x:f>
        <x:v>1.8571428571428572</x:v>
      </x:c>
      <x:c r="AQ34" s="14" t="n">
        <x:f>(IF(P34="High",3,IF(P34="Medium",2,1))+IF(J34="High",3,IF(J34="Medium",2,1))+IF(Z34="High",3,IF(Z34="Medium",2,1))+IF(AF34="High",3,IF(AF34="Medium",2,1))+IF(AH34="High",3,IF(AH34="Medium",2,1))+IF(AJ34="High",3,IF(AJ34="Medium",2,1))+1)/7</x:f>
        <x:v>1.8571428571428572</x:v>
      </x:c>
      <x:c r="AR34" s="9" t="n">
        <x:f>IF(N34="",1,0)+IF(I34="",1,0)+IF(Y34="",1,0)+IF(AI34="",1,0)+IF(AG34="",1,0)+IF(W34="",1,0)+IF(AE34="",1,0)</x:f>
        <x:v>0</x:v>
      </x:c>
      <x:c r="AS34" s="9" t="n">
        <x:f>IF(Q34="",1,0)+IF(I34="",1,0)+IF(Y34="",1,0)+IF(AI34="",1,0)+IF(AG34="",1,0)+IF(X34="",1,0)+IF(AE34="",1,0)</x:f>
        <x:v>0</x:v>
      </x:c>
      <x:c r="AT34" s="9" t="n">
        <x:v>14</x:v>
      </x:c>
      <x:c r="AU34" s="9" t="n">
        <x:v>18</x:v>
      </x:c>
      <x:c r="AV34" s="9" t="str">
        <x:v>Not proposed</x:v>
      </x:c>
      <x:c r="AW34" s="9" t="str"/>
    </x:row>
    <x:row r="35">
      <x:c r="A35" s="9" t="str">
        <x:v>Newcastle upon Tyne</x:v>
      </x:c>
      <x:c r="B35" s="9" t="str">
        <x:v>England</x:v>
      </x:c>
      <x:c r="C35" s="9" t="str">
        <x:v>Newcastle upon Tyne</x:v>
      </x:c>
      <x:c r="D35" s="12" t="n">
        <x:v>54.978011</x:v>
      </x:c>
      <x:c r="E35" s="12" t="n">
        <x:v>-1.610189</x:v>
      </x:c>
      <x:c r="F35" s="9" t="n">
        <x:v>3596</x:v>
      </x:c>
      <x:c r="G35" s="9" t="n">
        <x:v>2989</x:v>
      </x:c>
      <x:c r="H35" s="9" t="str">
        <x:v>data.police.uk street-crime records within 1 mile of Postcodes.io place centroid</x:v>
      </x:c>
      <x:c r="I35" s="9" t="n">
        <x:v>1</x:v>
      </x:c>
      <x:c r="J35" s="9" t="str">
        <x:v>Medium</x:v>
      </x:c>
      <x:c r="K35" s="10" t="n">
        <x:v>139950</x:v>
      </x:c>
      <x:c r="L35" s="9" t="n">
        <x:v>1733</x:v>
      </x:c>
      <x:c r="M35" s="9" t="str">
        <x:v>High</x:v>
      </x:c>
      <x:c r="N35" s="9" t="n">
        <x:f>IF(K35&lt;='Methodology'!$B$15,5,IF(K35&gt;='Methodology'!$B$16,1,3))</x:f>
        <x:v>1</x:v>
      </x:c>
      <x:c r="O35" s="10" t="n">
        <x:v>810</x:v>
      </x:c>
      <x:c r="P35" s="9" t="str">
        <x:v>Medium</x:v>
      </x:c>
      <x:c r="Q35" s="9" t="n">
        <x:f>IF(O35&lt;='Methodology'!$B$17,5,IF(O35&gt;='Methodology'!$B$18,1,3))</x:f>
        <x:v>1</x:v>
      </x:c>
      <x:c r="R35" s="9" t="n">
        <x:v>119</x:v>
      </x:c>
      <x:c r="S35" s="9" t="n">
        <x:v>124</x:v>
      </x:c>
      <x:c r="T35" s="9" t="str">
        <x:v>Unclear</x:v>
      </x:c>
      <x:c r="U35" s="9" t="n">
        <x:v>4</x:v>
      </x:c>
      <x:c r="V35" s="9" t="n">
        <x:v>4</x:v>
      </x:c>
      <x:c r="W35" s="13" t="n">
        <x:f>MAX(1,MIN(5,U35+IF(T35="Known",0.5,IF(T35="Likely",0,-0.5))))</x:f>
        <x:v>3.5</x:v>
      </x:c>
      <x:c r="X35" s="13" t="n">
        <x:f>MAX(1,MIN(5,V35+IF(T35="Known",0.5,IF(T35="Likely",0,-0.5))))</x:f>
        <x:v>3.5</x:v>
      </x:c>
      <x:c r="Y35" s="9" t="n">
        <x:v>5</x:v>
      </x:c>
      <x:c r="Z35" s="9" t="str">
        <x:v>High</x:v>
      </x:c>
      <x:c r="AA35" s="9" t="n">
        <x:v>170</x:v>
      </x:c>
      <x:c r="AB35" s="9" t="n">
        <x:v>0</x:v>
      </x:c>
      <x:c r="AC35" s="9" t="n">
        <x:v>185</x:v>
      </x:c>
      <x:c r="AD35" s="9" t="n">
        <x:v>0</x:v>
      </x:c>
      <x:c r="AE35" s="9" t="n">
        <x:v>3</x:v>
      </x:c>
      <x:c r="AF35" s="9" t="str">
        <x:v>Medium</x:v>
      </x:c>
      <x:c r="AG35" s="9" t="n">
        <x:v>2</x:v>
      </x:c>
      <x:c r="AH35" s="9" t="str">
        <x:v>Medium</x:v>
      </x:c>
      <x:c r="AI35" s="9" t="n">
        <x:v>4</x:v>
      </x:c>
      <x:c r="AJ35" s="9" t="str">
        <x:v>Medium</x:v>
      </x:c>
      <x:c r="AK35" s="13" t="n">
        <x:f>(N35*15+I35*15+Y35*15+AI35*15+AG35*15+W35*15+AE35*10)*20/(15*COUNT(N35,I35,Y35,AI35,AG35,W35)+10*COUNT(AE35))</x:f>
        <x:v>55.5</x:v>
      </x:c>
      <x:c r="AL35" s="13" t="n">
        <x:f>(Q35*15+I35*15+Y35*15+AI35*15+AG35*15+X35*15+AE35*10)*20/(15*COUNT(Q35,I35,Y35,AI35,AG35,X35)+10*COUNT(AE35))</x:f>
        <x:v>55.5</x:v>
      </x:c>
      <x:c r="AM35" s="13" t="n">
        <x:f>(N35+I35+Y35+AI35+AG35)*15/COUNT(N35,I35,Y35,AI35,AG35)</x:f>
        <x:v>39</x:v>
      </x:c>
      <x:c r="AN35" s="13" t="n">
        <x:f>(Q35+I35+Y35+AI35+AG35)*15/COUNT(Q35,I35,Y35,AI35,AG35)</x:f>
        <x:v>39</x:v>
      </x:c>
      <x:c r="AO35" s="9" t="n">
        <x:f>IF(I35=1,1,0)+IF(Y35=1,1,0)+IF(AI35=1,1,0)+IF(AG35=1,1,0)</x:f>
        <x:v>1</x:v>
      </x:c>
      <x:c r="AP35" s="14" t="n">
        <x:f>(IF(M35="High",3,IF(M35="Medium",2,1))+IF(J35="High",3,IF(J35="Medium",2,1))+IF(Z35="High",3,IF(Z35="Medium",2,1))+IF(AF35="High",3,IF(AF35="Medium",2,1))+IF(AH35="High",3,IF(AH35="Medium",2,1))+IF(AJ35="High",3,IF(AJ35="Medium",2,1))+2)/7</x:f>
        <x:v>2.2857142857142856</x:v>
      </x:c>
      <x:c r="AQ35" s="14" t="n">
        <x:f>(IF(P35="High",3,IF(P35="Medium",2,1))+IF(J35="High",3,IF(J35="Medium",2,1))+IF(Z35="High",3,IF(Z35="Medium",2,1))+IF(AF35="High",3,IF(AF35="Medium",2,1))+IF(AH35="High",3,IF(AH35="Medium",2,1))+IF(AJ35="High",3,IF(AJ35="Medium",2,1))+2)/7</x:f>
        <x:v>2.142857142857143</x:v>
      </x:c>
      <x:c r="AR35" s="9" t="n">
        <x:f>IF(N35="",1,0)+IF(I35="",1,0)+IF(Y35="",1,0)+IF(AI35="",1,0)+IF(AG35="",1,0)+IF(W35="",1,0)+IF(AE35="",1,0)</x:f>
        <x:v>0</x:v>
      </x:c>
      <x:c r="AS35" s="9" t="n">
        <x:f>IF(Q35="",1,0)+IF(I35="",1,0)+IF(Y35="",1,0)+IF(AI35="",1,0)+IF(AG35="",1,0)+IF(X35="",1,0)+IF(AE35="",1,0)</x:f>
        <x:v>0</x:v>
      </x:c>
      <x:c r="AT35" s="9" t="n">
        <x:v>61</x:v>
      </x:c>
      <x:c r="AU35" s="9" t="n">
        <x:v>58</x:v>
      </x:c>
      <x:c r="AV35" s="9" t="str">
        <x:v>Not proposed</x:v>
      </x:c>
      <x:c r="AW35" s="9" t="str"/>
    </x:row>
    <x:row r="36">
      <x:c r="A36" s="9" t="str">
        <x:v>Newport</x:v>
      </x:c>
      <x:c r="B36" s="9" t="str">
        <x:v>Wales</x:v>
      </x:c>
      <x:c r="C36" s="9" t="str">
        <x:v>Newport</x:v>
      </x:c>
      <x:c r="D36" s="12" t="n">
        <x:v>51.587902</x:v>
      </x:c>
      <x:c r="E36" s="12" t="n">
        <x:v>-2.996742</x:v>
      </x:c>
      <x:c r="F36" s="9" t="n">
        <x:v>3122</x:v>
      </x:c>
      <x:c r="G36" s="9" t="n">
        <x:v>2020</x:v>
      </x:c>
      <x:c r="H36" s="9" t="str">
        <x:v>data.police.uk street-crime records within 1 mile of Postcodes.io place centroid</x:v>
      </x:c>
      <x:c r="I36" s="9" t="n">
        <x:v>2</x:v>
      </x:c>
      <x:c r="J36" s="9" t="str">
        <x:v>Medium</x:v>
      </x:c>
      <x:c r="K36" s="10" t="n">
        <x:v>128000</x:v>
      </x:c>
      <x:c r="L36" s="9" t="n">
        <x:v>541</x:v>
      </x:c>
      <x:c r="M36" s="9" t="str">
        <x:v>High</x:v>
      </x:c>
      <x:c r="N36" s="9" t="n">
        <x:f>IF(K36&lt;='Methodology'!$B$15,5,IF(K36&gt;='Methodology'!$B$16,1,3))</x:f>
        <x:v>3</x:v>
      </x:c>
      <x:c r="O36" s="10" t="n">
        <x:v>696</x:v>
      </x:c>
      <x:c r="P36" s="9" t="str">
        <x:v>Medium</x:v>
      </x:c>
      <x:c r="Q36" s="9" t="n">
        <x:f>IF(O36&lt;='Methodology'!$B$17,5,IF(O36&gt;='Methodology'!$B$18,1,3))</x:f>
        <x:v>1</x:v>
      </x:c>
      <x:c r="R36" s="9" t="n">
        <x:v>31</x:v>
      </x:c>
      <x:c r="S36" s="9" t="n">
        <x:v>43</x:v>
      </x:c>
      <x:c r="T36" s="9" t="str">
        <x:v>Unclear</x:v>
      </x:c>
      <x:c r="U36" s="9" t="n">
        <x:v>3</x:v>
      </x:c>
      <x:c r="V36" s="9" t="n">
        <x:v>3</x:v>
      </x:c>
      <x:c r="W36" s="13" t="n">
        <x:f>MAX(1,MIN(5,U36+IF(T36="Known",0.5,IF(T36="Likely",0,-0.5))))</x:f>
        <x:v>2.5</x:v>
      </x:c>
      <x:c r="X36" s="13" t="n">
        <x:f>MAX(1,MIN(5,V36+IF(T36="Known",0.5,IF(T36="Likely",0,-0.5))))</x:f>
        <x:v>2.5</x:v>
      </x:c>
      <x:c r="Y36" s="9" t="n">
        <x:v>4</x:v>
      </x:c>
      <x:c r="Z36" s="9" t="str">
        <x:v>High</x:v>
      </x:c>
      <x:c r="AA36" s="9" t="n">
        <x:v>100</x:v>
      </x:c>
      <x:c r="AB36" s="9" t="n">
        <x:v>0</x:v>
      </x:c>
      <x:c r="AC36" s="9" t="n">
        <x:v>105</x:v>
      </x:c>
      <x:c r="AD36" s="9" t="n">
        <x:v>0</x:v>
      </x:c>
      <x:c r="AE36" s="9" t="n">
        <x:v>5</x:v>
      </x:c>
      <x:c r="AF36" s="9" t="str">
        <x:v>Medium</x:v>
      </x:c>
      <x:c r="AG36" s="9" t="n">
        <x:v>2</x:v>
      </x:c>
      <x:c r="AH36" s="9" t="str">
        <x:v>Medium</x:v>
      </x:c>
      <x:c r="AI36" s="9" t="n">
        <x:v>2</x:v>
      </x:c>
      <x:c r="AJ36" s="9" t="str">
        <x:v>Low</x:v>
      </x:c>
      <x:c r="AK36" s="13" t="n">
        <x:f>(N36*15+I36*15+Y36*15+AI36*15+AG36*15+W36*15+AE36*10)*20/(15*COUNT(N36,I36,Y36,AI36,AG36,W36)+10*COUNT(AE36))</x:f>
        <x:v>56.5</x:v>
      </x:c>
      <x:c r="AL36" s="13" t="n">
        <x:f>(Q36*15+I36*15+Y36*15+AI36*15+AG36*15+X36*15+AE36*10)*20/(15*COUNT(Q36,I36,Y36,AI36,AG36,X36)+10*COUNT(AE36))</x:f>
        <x:v>50.5</x:v>
      </x:c>
      <x:c r="AM36" s="13" t="n">
        <x:f>(N36+I36+Y36+AI36+AG36)*15/COUNT(N36,I36,Y36,AI36,AG36)</x:f>
        <x:v>39</x:v>
      </x:c>
      <x:c r="AN36" s="13" t="n">
        <x:f>(Q36+I36+Y36+AI36+AG36)*15/COUNT(Q36,I36,Y36,AI36,AG36)</x:f>
        <x:v>33</x:v>
      </x:c>
      <x:c r="AO36" s="9" t="n">
        <x:f>IF(I36=1,1,0)+IF(Y36=1,1,0)+IF(AI36=1,1,0)+IF(AG36=1,1,0)</x:f>
        <x:v>0</x:v>
      </x:c>
      <x:c r="AP36" s="14" t="n">
        <x:f>(IF(M36="High",3,IF(M36="Medium",2,1))+IF(J36="High",3,IF(J36="Medium",2,1))+IF(Z36="High",3,IF(Z36="Medium",2,1))+IF(AF36="High",3,IF(AF36="Medium",2,1))+IF(AH36="High",3,IF(AH36="Medium",2,1))+IF(AJ36="High",3,IF(AJ36="Medium",2,1))+2)/7</x:f>
        <x:v>2.142857142857143</x:v>
      </x:c>
      <x:c r="AQ36" s="14" t="n">
        <x:f>(IF(P36="High",3,IF(P36="Medium",2,1))+IF(J36="High",3,IF(J36="Medium",2,1))+IF(Z36="High",3,IF(Z36="Medium",2,1))+IF(AF36="High",3,IF(AF36="Medium",2,1))+IF(AH36="High",3,IF(AH36="Medium",2,1))+IF(AJ36="High",3,IF(AJ36="Medium",2,1))+2)/7</x:f>
        <x:v>2</x:v>
      </x:c>
      <x:c r="AR36" s="9" t="n">
        <x:f>IF(N36="",1,0)+IF(I36="",1,0)+IF(Y36="",1,0)+IF(AI36="",1,0)+IF(AG36="",1,0)+IF(W36="",1,0)+IF(AE36="",1,0)</x:f>
        <x:v>0</x:v>
      </x:c>
      <x:c r="AS36" s="9" t="n">
        <x:f>IF(Q36="",1,0)+IF(I36="",1,0)+IF(Y36="",1,0)+IF(AI36="",1,0)+IF(AG36="",1,0)+IF(X36="",1,0)+IF(AE36="",1,0)</x:f>
        <x:v>0</x:v>
      </x:c>
      <x:c r="AT36" s="9" t="n">
        <x:v>58</x:v>
      </x:c>
      <x:c r="AU36" s="9" t="n">
        <x:v>63</x:v>
      </x:c>
      <x:c r="AV36" s="9" t="str">
        <x:v>Not proposed</x:v>
      </x:c>
      <x:c r="AW36" s="9" t="str"/>
    </x:row>
    <x:row r="37">
      <x:c r="A37" s="9" t="str">
        <x:v>Northampton</x:v>
      </x:c>
      <x:c r="B37" s="9" t="str">
        <x:v>England</x:v>
      </x:c>
      <x:c r="C37" s="9" t="str">
        <x:v>West Northamptonshire</x:v>
      </x:c>
      <x:c r="D37" s="12" t="n">
        <x:v>52.237858</x:v>
      </x:c>
      <x:c r="E37" s="12" t="n">
        <x:v>-0.895046</x:v>
      </x:c>
      <x:c r="F37" s="9" t="n">
        <x:v>3637</x:v>
      </x:c>
      <x:c r="G37" s="9" t="n">
        <x:v>2665</x:v>
      </x:c>
      <x:c r="H37" s="9" t="str">
        <x:v>data.police.uk street-crime records within 1 mile of Postcodes.io place centroid</x:v>
      </x:c>
      <x:c r="I37" s="9" t="n">
        <x:v>1</x:v>
      </x:c>
      <x:c r="J37" s="9" t="str">
        <x:v>Medium</x:v>
      </x:c>
      <x:c r="K37" s="10" t="n">
        <x:v>150000</x:v>
      </x:c>
      <x:c r="L37" s="9" t="n">
        <x:v>717</x:v>
      </x:c>
      <x:c r="M37" s="9" t="str">
        <x:v>High</x:v>
      </x:c>
      <x:c r="N37" s="9" t="n">
        <x:f>IF(K37&lt;='Methodology'!$B$15,5,IF(K37&gt;='Methodology'!$B$16,1,3))</x:f>
        <x:v>1</x:v>
      </x:c>
      <x:c r="O37" s="10" t="n">
        <x:v>748</x:v>
      </x:c>
      <x:c r="P37" s="9" t="str">
        <x:v>Medium</x:v>
      </x:c>
      <x:c r="Q37" s="9" t="n">
        <x:f>IF(O37&lt;='Methodology'!$B$17,5,IF(O37&gt;='Methodology'!$B$18,1,3))</x:f>
        <x:v>1</x:v>
      </x:c>
      <x:c r="R37" s="9" t="n">
        <x:v>104</x:v>
      </x:c>
      <x:c r="S37" s="9" t="n">
        <x:v>137</x:v>
      </x:c>
      <x:c r="T37" s="9" t="str">
        <x:v>Unclear</x:v>
      </x:c>
      <x:c r="U37" s="9" t="n">
        <x:v>4</x:v>
      </x:c>
      <x:c r="V37" s="9" t="n">
        <x:v>4</x:v>
      </x:c>
      <x:c r="W37" s="13" t="n">
        <x:f>MAX(1,MIN(5,U37+IF(T37="Known",0.5,IF(T37="Likely",0,-0.5))))</x:f>
        <x:v>3.5</x:v>
      </x:c>
      <x:c r="X37" s="13" t="n">
        <x:f>MAX(1,MIN(5,V37+IF(T37="Known",0.5,IF(T37="Likely",0,-0.5))))</x:f>
        <x:v>3.5</x:v>
      </x:c>
      <x:c r="Y37" s="9" t="n">
        <x:v>4</x:v>
      </x:c>
      <x:c r="Z37" s="9" t="str">
        <x:v>Medium</x:v>
      </x:c>
      <x:c r="AA37" s="9" t="n">
        <x:v>60</x:v>
      </x:c>
      <x:c r="AB37" s="9" t="n">
        <x:v>0</x:v>
      </x:c>
      <x:c r="AC37" s="9" t="n">
        <x:v>60</x:v>
      </x:c>
      <x:c r="AD37" s="9" t="n">
        <x:v>0</x:v>
      </x:c>
      <x:c r="AE37" s="9" t="n">
        <x:v>5</x:v>
      </x:c>
      <x:c r="AF37" s="9" t="str">
        <x:v>Medium</x:v>
      </x:c>
      <x:c r="AG37" s="9" t="n">
        <x:v>2</x:v>
      </x:c>
      <x:c r="AH37" s="9" t="str">
        <x:v>Medium</x:v>
      </x:c>
      <x:c r="AI37" s="9" t="n">
        <x:v>3</x:v>
      </x:c>
      <x:c r="AJ37" s="9" t="str">
        <x:v>Low</x:v>
      </x:c>
      <x:c r="AK37" s="13" t="n">
        <x:f>(N37*15+I37*15+Y37*15+AI37*15+AG37*15+W37*15+AE37*10)*20/(15*COUNT(N37,I37,Y37,AI37,AG37,W37)+10*COUNT(AE37))</x:f>
        <x:v>53.5</x:v>
      </x:c>
      <x:c r="AL37" s="13" t="n">
        <x:f>(Q37*15+I37*15+Y37*15+AI37*15+AG37*15+X37*15+AE37*10)*20/(15*COUNT(Q37,I37,Y37,AI37,AG37,X37)+10*COUNT(AE37))</x:f>
        <x:v>53.5</x:v>
      </x:c>
      <x:c r="AM37" s="13" t="n">
        <x:f>(N37+I37+Y37+AI37+AG37)*15/COUNT(N37,I37,Y37,AI37,AG37)</x:f>
        <x:v>33</x:v>
      </x:c>
      <x:c r="AN37" s="13" t="n">
        <x:f>(Q37+I37+Y37+AI37+AG37)*15/COUNT(Q37,I37,Y37,AI37,AG37)</x:f>
        <x:v>33</x:v>
      </x:c>
      <x:c r="AO37" s="9" t="n">
        <x:f>IF(I37=1,1,0)+IF(Y37=1,1,0)+IF(AI37=1,1,0)+IF(AG37=1,1,0)</x:f>
        <x:v>1</x:v>
      </x:c>
      <x:c r="AP37" s="14" t="n">
        <x:f>(IF(M37="High",3,IF(M37="Medium",2,1))+IF(J37="High",3,IF(J37="Medium",2,1))+IF(Z37="High",3,IF(Z37="Medium",2,1))+IF(AF37="High",3,IF(AF37="Medium",2,1))+IF(AH37="High",3,IF(AH37="Medium",2,1))+IF(AJ37="High",3,IF(AJ37="Medium",2,1))+2)/7</x:f>
        <x:v>2</x:v>
      </x:c>
      <x:c r="AQ37" s="14" t="n">
        <x:f>(IF(P37="High",3,IF(P37="Medium",2,1))+IF(J37="High",3,IF(J37="Medium",2,1))+IF(Z37="High",3,IF(Z37="Medium",2,1))+IF(AF37="High",3,IF(AF37="Medium",2,1))+IF(AH37="High",3,IF(AH37="Medium",2,1))+IF(AJ37="High",3,IF(AJ37="Medium",2,1))+2)/7</x:f>
        <x:v>1.8571428571428572</x:v>
      </x:c>
      <x:c r="AR37" s="9" t="n">
        <x:f>IF(N37="",1,0)+IF(I37="",1,0)+IF(Y37="",1,0)+IF(AI37="",1,0)+IF(AG37="",1,0)+IF(W37="",1,0)+IF(AE37="",1,0)</x:f>
        <x:v>0</x:v>
      </x:c>
      <x:c r="AS37" s="9" t="n">
        <x:f>IF(Q37="",1,0)+IF(I37="",1,0)+IF(Y37="",1,0)+IF(AI37="",1,0)+IF(AG37="",1,0)+IF(X37="",1,0)+IF(AE37="",1,0)</x:f>
        <x:v>0</x:v>
      </x:c>
      <x:c r="AT37" s="9" t="n">
        <x:v>63</x:v>
      </x:c>
      <x:c r="AU37" s="9" t="n">
        <x:v>62</x:v>
      </x:c>
      <x:c r="AV37" s="9" t="str">
        <x:v>Not proposed</x:v>
      </x:c>
      <x:c r="AW37" s="9" t="str"/>
    </x:row>
    <x:row r="38">
      <x:c r="A38" s="9" t="str">
        <x:v>Norwich</x:v>
      </x:c>
      <x:c r="B38" s="9" t="str">
        <x:v>England</x:v>
      </x:c>
      <x:c r="C38" s="9" t="str">
        <x:v>Norwich</x:v>
      </x:c>
      <x:c r="D38" s="12" t="n">
        <x:v>52.628869</x:v>
      </x:c>
      <x:c r="E38" s="12" t="n">
        <x:v>1.293307</x:v>
      </x:c>
      <x:c r="F38" s="9" t="n">
        <x:v>3200</x:v>
      </x:c>
      <x:c r="G38" s="9" t="n">
        <x:v>1530</x:v>
      </x:c>
      <x:c r="H38" s="9" t="str">
        <x:v>data.police.uk street-crime records within 1 mile of Postcodes.io place centroid</x:v>
      </x:c>
      <x:c r="I38" s="9" t="n">
        <x:v>2</x:v>
      </x:c>
      <x:c r="J38" s="9" t="str">
        <x:v>Medium</x:v>
      </x:c>
      <x:c r="K38" s="10" t="n">
        <x:v>155000</x:v>
      </x:c>
      <x:c r="L38" s="9" t="n">
        <x:v>1272</x:v>
      </x:c>
      <x:c r="M38" s="9" t="str">
        <x:v>High</x:v>
      </x:c>
      <x:c r="N38" s="9" t="n">
        <x:f>IF(K38&lt;='Methodology'!$B$15,5,IF(K38&gt;='Methodology'!$B$16,1,3))</x:f>
        <x:v>1</x:v>
      </x:c>
      <x:c r="O38" s="10" t="n">
        <x:v>781</x:v>
      </x:c>
      <x:c r="P38" s="9" t="str">
        <x:v>Medium</x:v>
      </x:c>
      <x:c r="Q38" s="9" t="n">
        <x:f>IF(O38&lt;='Methodology'!$B$17,5,IF(O38&gt;='Methodology'!$B$18,1,3))</x:f>
        <x:v>1</x:v>
      </x:c>
      <x:c r="R38" s="9" t="n">
        <x:v>144</x:v>
      </x:c>
      <x:c r="S38" s="9" t="n">
        <x:v>112</x:v>
      </x:c>
      <x:c r="T38" s="9" t="str">
        <x:v>Unclear</x:v>
      </x:c>
      <x:c r="U38" s="9" t="n">
        <x:v>4</x:v>
      </x:c>
      <x:c r="V38" s="9" t="n">
        <x:v>4</x:v>
      </x:c>
      <x:c r="W38" s="13" t="n">
        <x:f>MAX(1,MIN(5,U38+IF(T38="Known",0.5,IF(T38="Likely",0,-0.5))))</x:f>
        <x:v>3.5</x:v>
      </x:c>
      <x:c r="X38" s="13" t="n">
        <x:f>MAX(1,MIN(5,V38+IF(T38="Known",0.5,IF(T38="Likely",0,-0.5))))</x:f>
        <x:v>3.5</x:v>
      </x:c>
      <x:c r="Y38" s="9" t="n">
        <x:v>4</x:v>
      </x:c>
      <x:c r="Z38" s="9" t="str">
        <x:v>Medium</x:v>
      </x:c>
      <x:c r="AA38" s="9" t="n">
        <x:v>110</x:v>
      </x:c>
      <x:c r="AB38" s="9" t="n">
        <x:v>0</x:v>
      </x:c>
      <x:c r="AC38" s="9" t="n">
        <x:v>210</x:v>
      </x:c>
      <x:c r="AD38" s="9" t="n">
        <x:v>1</x:v>
      </x:c>
      <x:c r="AE38" s="9" t="n">
        <x:v>4</x:v>
      </x:c>
      <x:c r="AF38" s="9" t="str">
        <x:v>Medium</x:v>
      </x:c>
      <x:c r="AG38" s="9" t="n">
        <x:v>4</x:v>
      </x:c>
      <x:c r="AH38" s="9" t="str">
        <x:v>Medium</x:v>
      </x:c>
      <x:c r="AI38" s="9" t="n">
        <x:v>5</x:v>
      </x:c>
      <x:c r="AJ38" s="9" t="str">
        <x:v>Medium</x:v>
      </x:c>
      <x:c r="AK38" s="13" t="n">
        <x:f>(N38*15+I38*15+Y38*15+AI38*15+AG38*15+W38*15+AE38*10)*20/(15*COUNT(N38,I38,Y38,AI38,AG38,W38)+10*COUNT(AE38))</x:f>
        <x:v>66.5</x:v>
      </x:c>
      <x:c r="AL38" s="13" t="n">
        <x:f>(Q38*15+I38*15+Y38*15+AI38*15+AG38*15+X38*15+AE38*10)*20/(15*COUNT(Q38,I38,Y38,AI38,AG38,X38)+10*COUNT(AE38))</x:f>
        <x:v>66.5</x:v>
      </x:c>
      <x:c r="AM38" s="13" t="n">
        <x:f>(N38+I38+Y38+AI38+AG38)*15/COUNT(N38,I38,Y38,AI38,AG38)</x:f>
        <x:v>48</x:v>
      </x:c>
      <x:c r="AN38" s="13" t="n">
        <x:f>(Q38+I38+Y38+AI38+AG38)*15/COUNT(Q38,I38,Y38,AI38,AG38)</x:f>
        <x:v>48</x:v>
      </x:c>
      <x:c r="AO38" s="9" t="n">
        <x:f>IF(I38=1,1,0)+IF(Y38=1,1,0)+IF(AI38=1,1,0)+IF(AG38=1,1,0)</x:f>
        <x:v>0</x:v>
      </x:c>
      <x:c r="AP38" s="14" t="n">
        <x:f>(IF(M38="High",3,IF(M38="Medium",2,1))+IF(J38="High",3,IF(J38="Medium",2,1))+IF(Z38="High",3,IF(Z38="Medium",2,1))+IF(AF38="High",3,IF(AF38="Medium",2,1))+IF(AH38="High",3,IF(AH38="Medium",2,1))+IF(AJ38="High",3,IF(AJ38="Medium",2,1))+2)/7</x:f>
        <x:v>2.142857142857143</x:v>
      </x:c>
      <x:c r="AQ38" s="14" t="n">
        <x:f>(IF(P38="High",3,IF(P38="Medium",2,1))+IF(J38="High",3,IF(J38="Medium",2,1))+IF(Z38="High",3,IF(Z38="Medium",2,1))+IF(AF38="High",3,IF(AF38="Medium",2,1))+IF(AH38="High",3,IF(AH38="Medium",2,1))+IF(AJ38="High",3,IF(AJ38="Medium",2,1))+2)/7</x:f>
        <x:v>2</x:v>
      </x:c>
      <x:c r="AR38" s="9" t="n">
        <x:f>IF(N38="",1,0)+IF(I38="",1,0)+IF(Y38="",1,0)+IF(AI38="",1,0)+IF(AG38="",1,0)+IF(W38="",1,0)+IF(AE38="",1,0)</x:f>
        <x:v>0</x:v>
      </x:c>
      <x:c r="AS38" s="9" t="n">
        <x:f>IF(Q38="",1,0)+IF(I38="",1,0)+IF(Y38="",1,0)+IF(AI38="",1,0)+IF(AG38="",1,0)+IF(X38="",1,0)+IF(AE38="",1,0)</x:f>
        <x:v>0</x:v>
      </x:c>
      <x:c r="AT38" s="9" t="n">
        <x:v>13</x:v>
      </x:c>
      <x:c r="AU38" s="9" t="n">
        <x:v>15</x:v>
      </x:c>
      <x:c r="AV38" s="9" t="str">
        <x:v>Not proposed</x:v>
      </x:c>
      <x:c r="AW38" s="9" t="str"/>
    </x:row>
    <x:row r="39">
      <x:c r="A39" s="9" t="str">
        <x:v>Nottingham</x:v>
      </x:c>
      <x:c r="B39" s="9" t="str">
        <x:v>England</x:v>
      </x:c>
      <x:c r="C39" s="9" t="str">
        <x:v>Nottingham</x:v>
      </x:c>
      <x:c r="D39" s="12" t="n">
        <x:v>52.956196</x:v>
      </x:c>
      <x:c r="E39" s="12" t="n">
        <x:v>-1.151204</x:v>
      </x:c>
      <x:c r="F39" s="9" t="n">
        <x:v>5448</x:v>
      </x:c>
      <x:c r="G39" s="9" t="n">
        <x:v>3157</x:v>
      </x:c>
      <x:c r="H39" s="9" t="str">
        <x:v>data.police.uk street-crime records within 1 mile of Postcodes.io place centroid</x:v>
      </x:c>
      <x:c r="I39" s="9" t="n">
        <x:v>1</x:v>
      </x:c>
      <x:c r="J39" s="9" t="str">
        <x:v>Medium</x:v>
      </x:c>
      <x:c r="K39" s="10" t="n">
        <x:v>140000</x:v>
      </x:c>
      <x:c r="L39" s="9" t="n">
        <x:v>1524</x:v>
      </x:c>
      <x:c r="M39" s="9" t="str">
        <x:v>High</x:v>
      </x:c>
      <x:c r="N39" s="9" t="n">
        <x:f>IF(K39&lt;='Methodology'!$B$15,5,IF(K39&gt;='Methodology'!$B$16,1,3))</x:f>
        <x:v>1</x:v>
      </x:c>
      <x:c r="O39" s="10" t="n">
        <x:v>734</x:v>
      </x:c>
      <x:c r="P39" s="9" t="str">
        <x:v>Medium</x:v>
      </x:c>
      <x:c r="Q39" s="9" t="n">
        <x:f>IF(O39&lt;='Methodology'!$B$17,5,IF(O39&gt;='Methodology'!$B$18,1,3))</x:f>
        <x:v>1</x:v>
      </x:c>
      <x:c r="R39" s="9" t="n">
        <x:v>225</x:v>
      </x:c>
      <x:c r="S39" s="9" t="n">
        <x:v>509</x:v>
      </x:c>
      <x:c r="T39" s="9" t="str">
        <x:v>Unclear</x:v>
      </x:c>
      <x:c r="U39" s="9" t="n">
        <x:v>5</x:v>
      </x:c>
      <x:c r="V39" s="9" t="n">
        <x:v>5</x:v>
      </x:c>
      <x:c r="W39" s="13" t="n">
        <x:f>MAX(1,MIN(5,U39+IF(T39="Known",0.5,IF(T39="Likely",0,-0.5))))</x:f>
        <x:v>4.5</x:v>
      </x:c>
      <x:c r="X39" s="13" t="n">
        <x:f>MAX(1,MIN(5,V39+IF(T39="Known",0.5,IF(T39="Likely",0,-0.5))))</x:f>
        <x:v>4.5</x:v>
      </x:c>
      <x:c r="Y39" s="9" t="n">
        <x:v>5</x:v>
      </x:c>
      <x:c r="Z39" s="9" t="str">
        <x:v>High</x:v>
      </x:c>
      <x:c r="AA39" s="9" t="n">
        <x:v>100</x:v>
      </x:c>
      <x:c r="AB39" s="9" t="n">
        <x:v>0</x:v>
      </x:c>
      <x:c r="AC39" s="9" t="n">
        <x:v>75</x:v>
      </x:c>
      <x:c r="AD39" s="9" t="n">
        <x:v>0</x:v>
      </x:c>
      <x:c r="AE39" s="9" t="n">
        <x:v>5</x:v>
      </x:c>
      <x:c r="AF39" s="9" t="str">
        <x:v>Medium</x:v>
      </x:c>
      <x:c r="AG39" s="9" t="n">
        <x:v>2</x:v>
      </x:c>
      <x:c r="AH39" s="9" t="str">
        <x:v>Medium</x:v>
      </x:c>
      <x:c r="AI39" s="9" t="n">
        <x:v>4</x:v>
      </x:c>
      <x:c r="AJ39" s="9" t="str">
        <x:v>Medium</x:v>
      </x:c>
      <x:c r="AK39" s="13" t="n">
        <x:f>(N39*15+I39*15+Y39*15+AI39*15+AG39*15+W39*15+AE39*10)*20/(15*COUNT(N39,I39,Y39,AI39,AG39,W39)+10*COUNT(AE39))</x:f>
        <x:v>62.5</x:v>
      </x:c>
      <x:c r="AL39" s="13" t="n">
        <x:f>(Q39*15+I39*15+Y39*15+AI39*15+AG39*15+X39*15+AE39*10)*20/(15*COUNT(Q39,I39,Y39,AI39,AG39,X39)+10*COUNT(AE39))</x:f>
        <x:v>62.5</x:v>
      </x:c>
      <x:c r="AM39" s="13" t="n">
        <x:f>(N39+I39+Y39+AI39+AG39)*15/COUNT(N39,I39,Y39,AI39,AG39)</x:f>
        <x:v>39</x:v>
      </x:c>
      <x:c r="AN39" s="13" t="n">
        <x:f>(Q39+I39+Y39+AI39+AG39)*15/COUNT(Q39,I39,Y39,AI39,AG39)</x:f>
        <x:v>39</x:v>
      </x:c>
      <x:c r="AO39" s="9" t="n">
        <x:f>IF(I39=1,1,0)+IF(Y39=1,1,0)+IF(AI39=1,1,0)+IF(AG39=1,1,0)</x:f>
        <x:v>1</x:v>
      </x:c>
      <x:c r="AP39" s="14" t="n">
        <x:f>(IF(M39="High",3,IF(M39="Medium",2,1))+IF(J39="High",3,IF(J39="Medium",2,1))+IF(Z39="High",3,IF(Z39="Medium",2,1))+IF(AF39="High",3,IF(AF39="Medium",2,1))+IF(AH39="High",3,IF(AH39="Medium",2,1))+IF(AJ39="High",3,IF(AJ39="Medium",2,1))+2)/7</x:f>
        <x:v>2.2857142857142856</x:v>
      </x:c>
      <x:c r="AQ39" s="14" t="n">
        <x:f>(IF(P39="High",3,IF(P39="Medium",2,1))+IF(J39="High",3,IF(J39="Medium",2,1))+IF(Z39="High",3,IF(Z39="Medium",2,1))+IF(AF39="High",3,IF(AF39="Medium",2,1))+IF(AH39="High",3,IF(AH39="Medium",2,1))+IF(AJ39="High",3,IF(AJ39="Medium",2,1))+2)/7</x:f>
        <x:v>2.142857142857143</x:v>
      </x:c>
      <x:c r="AR39" s="9" t="n">
        <x:f>IF(N39="",1,0)+IF(I39="",1,0)+IF(Y39="",1,0)+IF(AI39="",1,0)+IF(AG39="",1,0)+IF(W39="",1,0)+IF(AE39="",1,0)</x:f>
        <x:v>0</x:v>
      </x:c>
      <x:c r="AS39" s="9" t="n">
        <x:f>IF(Q39="",1,0)+IF(I39="",1,0)+IF(Y39="",1,0)+IF(AI39="",1,0)+IF(AG39="",1,0)+IF(X39="",1,0)+IF(AE39="",1,0)</x:f>
        <x:v>0</x:v>
      </x:c>
      <x:c r="AT39" s="9" t="n">
        <x:v>39</x:v>
      </x:c>
      <x:c r="AU39" s="9" t="n">
        <x:v>40</x:v>
      </x:c>
      <x:c r="AV39" s="9" t="str">
        <x:v>Not proposed</x:v>
      </x:c>
      <x:c r="AW39" s="9" t="str"/>
    </x:row>
    <x:row r="40">
      <x:c r="A40" s="9" t="str">
        <x:v>Peterborough</x:v>
      </x:c>
      <x:c r="B40" s="9" t="str">
        <x:v>England</x:v>
      </x:c>
      <x:c r="C40" s="9" t="str">
        <x:v>Peterborough</x:v>
      </x:c>
      <x:c r="D40" s="12" t="n">
        <x:v>52.572509</x:v>
      </x:c>
      <x:c r="E40" s="12" t="n">
        <x:v>-0.242498</x:v>
      </x:c>
      <x:c r="F40" s="9" t="n">
        <x:v>3013</x:v>
      </x:c>
      <x:c r="G40" s="9" t="n">
        <x:v>1510</x:v>
      </x:c>
      <x:c r="H40" s="9" t="str">
        <x:v>data.police.uk street-crime records within 1 mile of Postcodes.io place centroid</x:v>
      </x:c>
      <x:c r="I40" s="9" t="n">
        <x:v>2</x:v>
      </x:c>
      <x:c r="J40" s="9" t="str">
        <x:v>Medium</x:v>
      </x:c>
      <x:c r="K40" s="10" t="n">
        <x:v>129000</x:v>
      </x:c>
      <x:c r="L40" s="9" t="n">
        <x:v>420</x:v>
      </x:c>
      <x:c r="M40" s="9" t="str">
        <x:v>High</x:v>
      </x:c>
      <x:c r="N40" s="9" t="n">
        <x:f>IF(K40&lt;='Methodology'!$B$15,5,IF(K40&gt;='Methodology'!$B$16,1,3))</x:f>
        <x:v>3</x:v>
      </x:c>
      <x:c r="O40" s="10" t="n">
        <x:v>703</x:v>
      </x:c>
      <x:c r="P40" s="9" t="str">
        <x:v>Medium</x:v>
      </x:c>
      <x:c r="Q40" s="9" t="n">
        <x:f>IF(O40&lt;='Methodology'!$B$17,5,IF(O40&gt;='Methodology'!$B$18,1,3))</x:f>
        <x:v>1</x:v>
      </x:c>
      <x:c r="R40" s="9" t="n">
        <x:v>91</x:v>
      </x:c>
      <x:c r="S40" s="9" t="n">
        <x:v>134</x:v>
      </x:c>
      <x:c r="T40" s="9" t="str">
        <x:v>Unclear</x:v>
      </x:c>
      <x:c r="U40" s="9" t="n">
        <x:v>4</x:v>
      </x:c>
      <x:c r="V40" s="9" t="n">
        <x:v>4</x:v>
      </x:c>
      <x:c r="W40" s="13" t="n">
        <x:f>MAX(1,MIN(5,U40+IF(T40="Known",0.5,IF(T40="Likely",0,-0.5))))</x:f>
        <x:v>3.5</x:v>
      </x:c>
      <x:c r="X40" s="13" t="n">
        <x:f>MAX(1,MIN(5,V40+IF(T40="Known",0.5,IF(T40="Likely",0,-0.5))))</x:f>
        <x:v>3.5</x:v>
      </x:c>
      <x:c r="Y40" s="9" t="n">
        <x:v>4</x:v>
      </x:c>
      <x:c r="Z40" s="9" t="str">
        <x:v>Medium</x:v>
      </x:c>
      <x:c r="AA40" s="9" t="n">
        <x:v>50</x:v>
      </x:c>
      <x:c r="AB40" s="9" t="n">
        <x:v>0</x:v>
      </x:c>
      <x:c r="AC40" s="9" t="n">
        <x:v>100</x:v>
      </x:c>
      <x:c r="AD40" s="9" t="n">
        <x:v>0</x:v>
      </x:c>
      <x:c r="AE40" s="9" t="n">
        <x:v>5</x:v>
      </x:c>
      <x:c r="AF40" s="9" t="str">
        <x:v>Medium</x:v>
      </x:c>
      <x:c r="AG40" s="9" t="n">
        <x:v>2</x:v>
      </x:c>
      <x:c r="AH40" s="9" t="str">
        <x:v>Medium</x:v>
      </x:c>
      <x:c r="AI40" s="9" t="n">
        <x:v>3</x:v>
      </x:c>
      <x:c r="AJ40" s="9" t="str">
        <x:v>Low</x:v>
      </x:c>
      <x:c r="AK40" s="13" t="n">
        <x:f>(N40*15+I40*15+Y40*15+AI40*15+AG40*15+W40*15+AE40*10)*20/(15*COUNT(N40,I40,Y40,AI40,AG40,W40)+10*COUNT(AE40))</x:f>
        <x:v>62.5</x:v>
      </x:c>
      <x:c r="AL40" s="13" t="n">
        <x:f>(Q40*15+I40*15+Y40*15+AI40*15+AG40*15+X40*15+AE40*10)*20/(15*COUNT(Q40,I40,Y40,AI40,AG40,X40)+10*COUNT(AE40))</x:f>
        <x:v>56.5</x:v>
      </x:c>
      <x:c r="AM40" s="13" t="n">
        <x:f>(N40+I40+Y40+AI40+AG40)*15/COUNT(N40,I40,Y40,AI40,AG40)</x:f>
        <x:v>42</x:v>
      </x:c>
      <x:c r="AN40" s="13" t="n">
        <x:f>(Q40+I40+Y40+AI40+AG40)*15/COUNT(Q40,I40,Y40,AI40,AG40)</x:f>
        <x:v>36</x:v>
      </x:c>
      <x:c r="AO40" s="9" t="n">
        <x:f>IF(I40=1,1,0)+IF(Y40=1,1,0)+IF(AI40=1,1,0)+IF(AG40=1,1,0)</x:f>
        <x:v>0</x:v>
      </x:c>
      <x:c r="AP40" s="14" t="n">
        <x:f>(IF(M40="High",3,IF(M40="Medium",2,1))+IF(J40="High",3,IF(J40="Medium",2,1))+IF(Z40="High",3,IF(Z40="Medium",2,1))+IF(AF40="High",3,IF(AF40="Medium",2,1))+IF(AH40="High",3,IF(AH40="Medium",2,1))+IF(AJ40="High",3,IF(AJ40="Medium",2,1))+2)/7</x:f>
        <x:v>2</x:v>
      </x:c>
      <x:c r="AQ40" s="14" t="n">
        <x:f>(IF(P40="High",3,IF(P40="Medium",2,1))+IF(J40="High",3,IF(J40="Medium",2,1))+IF(Z40="High",3,IF(Z40="Medium",2,1))+IF(AF40="High",3,IF(AF40="Medium",2,1))+IF(AH40="High",3,IF(AH40="Medium",2,1))+IF(AJ40="High",3,IF(AJ40="Medium",2,1))+2)/7</x:f>
        <x:v>1.8571428571428572</x:v>
      </x:c>
      <x:c r="AR40" s="9" t="n">
        <x:f>IF(N40="",1,0)+IF(I40="",1,0)+IF(Y40="",1,0)+IF(AI40="",1,0)+IF(AG40="",1,0)+IF(W40="",1,0)+IF(AE40="",1,0)</x:f>
        <x:v>0</x:v>
      </x:c>
      <x:c r="AS40" s="9" t="n">
        <x:f>IF(Q40="",1,0)+IF(I40="",1,0)+IF(Y40="",1,0)+IF(AI40="",1,0)+IF(AG40="",1,0)+IF(X40="",1,0)+IF(AE40="",1,0)</x:f>
        <x:v>0</x:v>
      </x:c>
      <x:c r="AT40" s="9" t="n">
        <x:v>37</x:v>
      </x:c>
      <x:c r="AU40" s="9" t="n">
        <x:v>55</x:v>
      </x:c>
      <x:c r="AV40" s="9" t="str">
        <x:v>Not proposed</x:v>
      </x:c>
      <x:c r="AW40" s="9" t="str"/>
    </x:row>
    <x:row r="41">
      <x:c r="A41" s="9" t="str">
        <x:v>Plymouth</x:v>
      </x:c>
      <x:c r="B41" s="9" t="str">
        <x:v>England</x:v>
      </x:c>
      <x:c r="C41" s="9" t="str">
        <x:v>Plymouth</x:v>
      </x:c>
      <x:c r="D41" s="12" t="n">
        <x:v>50.370015</x:v>
      </x:c>
      <x:c r="E41" s="12" t="n">
        <x:v>-4.142068</x:v>
      </x:c>
      <x:c r="F41" s="9" t="n">
        <x:v>4645</x:v>
      </x:c>
      <x:c r="G41" s="9" t="n">
        <x:v>2025</x:v>
      </x:c>
      <x:c r="H41" s="9" t="str">
        <x:v>data.police.uk street-crime records within 1 mile of Postcodes.io place centroid</x:v>
      </x:c>
      <x:c r="I41" s="9" t="n">
        <x:v>1</x:v>
      </x:c>
      <x:c r="J41" s="9" t="str">
        <x:v>Medium</x:v>
      </x:c>
      <x:c r="K41" s="10" t="n">
        <x:v>138500</x:v>
      </x:c>
      <x:c r="L41" s="9" t="n">
        <x:v>1343</x:v>
      </x:c>
      <x:c r="M41" s="9" t="str">
        <x:v>High</x:v>
      </x:c>
      <x:c r="N41" s="9" t="n">
        <x:f>IF(K41&lt;='Methodology'!$B$15,5,IF(K41&gt;='Methodology'!$B$16,1,3))</x:f>
        <x:v>1</x:v>
      </x:c>
      <x:c r="O41" s="10" t="n">
        <x:v>703</x:v>
      </x:c>
      <x:c r="P41" s="9" t="str">
        <x:v>Medium</x:v>
      </x:c>
      <x:c r="Q41" s="9" t="n">
        <x:f>IF(O41&lt;='Methodology'!$B$17,5,IF(O41&gt;='Methodology'!$B$18,1,3))</x:f>
        <x:v>1</x:v>
      </x:c>
      <x:c r="R41" s="9" t="n">
        <x:v>147</x:v>
      </x:c>
      <x:c r="S41" s="9" t="n">
        <x:v>124</x:v>
      </x:c>
      <x:c r="T41" s="9" t="str">
        <x:v>Unclear</x:v>
      </x:c>
      <x:c r="U41" s="9" t="n">
        <x:v>4</x:v>
      </x:c>
      <x:c r="V41" s="9" t="n">
        <x:v>4</x:v>
      </x:c>
      <x:c r="W41" s="13" t="n">
        <x:f>MAX(1,MIN(5,U41+IF(T41="Known",0.5,IF(T41="Likely",0,-0.5))))</x:f>
        <x:v>3.5</x:v>
      </x:c>
      <x:c r="X41" s="13" t="n">
        <x:f>MAX(1,MIN(5,V41+IF(T41="Known",0.5,IF(T41="Likely",0,-0.5))))</x:f>
        <x:v>3.5</x:v>
      </x:c>
      <x:c r="Y41" s="9" t="n">
        <x:v>4</x:v>
      </x:c>
      <x:c r="Z41" s="9" t="str">
        <x:v>Medium</x:v>
      </x:c>
      <x:c r="AA41" s="9" t="n">
        <x:v>190</x:v>
      </x:c>
      <x:c r="AB41" s="9" t="n">
        <x:v>0</x:v>
      </x:c>
      <x:c r="AC41" s="9" t="n">
        <x:v>205</x:v>
      </x:c>
      <x:c r="AD41" s="9" t="n">
        <x:v>0</x:v>
      </x:c>
      <x:c r="AE41" s="9" t="n">
        <x:v>2</x:v>
      </x:c>
      <x:c r="AF41" s="9" t="str">
        <x:v>Medium</x:v>
      </x:c>
      <x:c r="AG41" s="9" t="n">
        <x:v>3</x:v>
      </x:c>
      <x:c r="AH41" s="9" t="str">
        <x:v>Medium</x:v>
      </x:c>
      <x:c r="AI41" s="9" t="n">
        <x:v>4</x:v>
      </x:c>
      <x:c r="AJ41" s="9" t="str">
        <x:v>Medium</x:v>
      </x:c>
      <x:c r="AK41" s="13" t="n">
        <x:f>(N41*15+I41*15+Y41*15+AI41*15+AG41*15+W41*15+AE41*10)*20/(15*COUNT(N41,I41,Y41,AI41,AG41,W41)+10*COUNT(AE41))</x:f>
        <x:v>53.5</x:v>
      </x:c>
      <x:c r="AL41" s="13" t="n">
        <x:f>(Q41*15+I41*15+Y41*15+AI41*15+AG41*15+X41*15+AE41*10)*20/(15*COUNT(Q41,I41,Y41,AI41,AG41,X41)+10*COUNT(AE41))</x:f>
        <x:v>53.5</x:v>
      </x:c>
      <x:c r="AM41" s="13" t="n">
        <x:f>(N41+I41+Y41+AI41+AG41)*15/COUNT(N41,I41,Y41,AI41,AG41)</x:f>
        <x:v>39</x:v>
      </x:c>
      <x:c r="AN41" s="13" t="n">
        <x:f>(Q41+I41+Y41+AI41+AG41)*15/COUNT(Q41,I41,Y41,AI41,AG41)</x:f>
        <x:v>39</x:v>
      </x:c>
      <x:c r="AO41" s="9" t="n">
        <x:f>IF(I41=1,1,0)+IF(Y41=1,1,0)+IF(AI41=1,1,0)+IF(AG41=1,1,0)</x:f>
        <x:v>1</x:v>
      </x:c>
      <x:c r="AP41" s="14" t="n">
        <x:f>(IF(M41="High",3,IF(M41="Medium",2,1))+IF(J41="High",3,IF(J41="Medium",2,1))+IF(Z41="High",3,IF(Z41="Medium",2,1))+IF(AF41="High",3,IF(AF41="Medium",2,1))+IF(AH41="High",3,IF(AH41="Medium",2,1))+IF(AJ41="High",3,IF(AJ41="Medium",2,1))+2)/7</x:f>
        <x:v>2.142857142857143</x:v>
      </x:c>
      <x:c r="AQ41" s="14" t="n">
        <x:f>(IF(P41="High",3,IF(P41="Medium",2,1))+IF(J41="High",3,IF(J41="Medium",2,1))+IF(Z41="High",3,IF(Z41="Medium",2,1))+IF(AF41="High",3,IF(AF41="Medium",2,1))+IF(AH41="High",3,IF(AH41="Medium",2,1))+IF(AJ41="High",3,IF(AJ41="Medium",2,1))+2)/7</x:f>
        <x:v>2</x:v>
      </x:c>
      <x:c r="AR41" s="9" t="n">
        <x:f>IF(N41="",1,0)+IF(I41="",1,0)+IF(Y41="",1,0)+IF(AI41="",1,0)+IF(AG41="",1,0)+IF(W41="",1,0)+IF(AE41="",1,0)</x:f>
        <x:v>0</x:v>
      </x:c>
      <x:c r="AS41" s="9" t="n">
        <x:f>IF(Q41="",1,0)+IF(I41="",1,0)+IF(Y41="",1,0)+IF(AI41="",1,0)+IF(AG41="",1,0)+IF(X41="",1,0)+IF(AE41="",1,0)</x:f>
        <x:v>0</x:v>
      </x:c>
      <x:c r="AT41" s="9" t="n">
        <x:v>62</x:v>
      </x:c>
      <x:c r="AU41" s="9" t="n">
        <x:v>61</x:v>
      </x:c>
      <x:c r="AV41" s="9" t="str">
        <x:v>Not proposed</x:v>
      </x:c>
      <x:c r="AW41" s="9" t="str"/>
    </x:row>
    <x:row r="42">
      <x:c r="A42" s="9" t="str">
        <x:v>Portsmouth</x:v>
      </x:c>
      <x:c r="B42" s="9" t="str">
        <x:v>England</x:v>
      </x:c>
      <x:c r="C42" s="9" t="str">
        <x:v>Portsmouth</x:v>
      </x:c>
      <x:c r="D42" s="12" t="n">
        <x:v>50.79685</x:v>
      </x:c>
      <x:c r="E42" s="12" t="n">
        <x:v>-1.09117</x:v>
      </x:c>
      <x:c r="F42" s="9" t="n">
        <x:v>4741</x:v>
      </x:c>
      <x:c r="G42" s="9" t="n">
        <x:v>1484</x:v>
      </x:c>
      <x:c r="H42" s="9" t="str">
        <x:v>data.police.uk street-crime records within 1 mile of Postcodes.io place centroid</x:v>
      </x:c>
      <x:c r="I42" s="9" t="n">
        <x:v>2</x:v>
      </x:c>
      <x:c r="J42" s="9" t="str">
        <x:v>Medium</x:v>
      </x:c>
      <x:c r="K42" s="10" t="n">
        <x:v>165000</x:v>
      </x:c>
      <x:c r="L42" s="9" t="n">
        <x:v>541</x:v>
      </x:c>
      <x:c r="M42" s="9" t="str">
        <x:v>High</x:v>
      </x:c>
      <x:c r="N42" s="9" t="n">
        <x:f>IF(K42&lt;='Methodology'!$B$15,5,IF(K42&gt;='Methodology'!$B$16,1,3))</x:f>
        <x:v>1</x:v>
      </x:c>
      <x:c r="O42" s="10" t="n">
        <x:v>900</x:v>
      </x:c>
      <x:c r="P42" s="9" t="str">
        <x:v>Medium</x:v>
      </x:c>
      <x:c r="Q42" s="9" t="n">
        <x:f>IF(O42&lt;='Methodology'!$B$17,5,IF(O42&gt;='Methodology'!$B$18,1,3))</x:f>
        <x:v>1</x:v>
      </x:c>
      <x:c r="R42" s="9" t="n">
        <x:v>177</x:v>
      </x:c>
      <x:c r="S42" s="9" t="n">
        <x:v>176</x:v>
      </x:c>
      <x:c r="T42" s="9" t="str">
        <x:v>Unclear</x:v>
      </x:c>
      <x:c r="U42" s="9" t="n">
        <x:v>4</x:v>
      </x:c>
      <x:c r="V42" s="9" t="n">
        <x:v>4</x:v>
      </x:c>
      <x:c r="W42" s="13" t="n">
        <x:f>MAX(1,MIN(5,U42+IF(T42="Known",0.5,IF(T42="Likely",0,-0.5))))</x:f>
        <x:v>3.5</x:v>
      </x:c>
      <x:c r="X42" s="13" t="n">
        <x:f>MAX(1,MIN(5,V42+IF(T42="Known",0.5,IF(T42="Likely",0,-0.5))))</x:f>
        <x:v>3.5</x:v>
      </x:c>
      <x:c r="Y42" s="9" t="n">
        <x:v>4</x:v>
      </x:c>
      <x:c r="Z42" s="9" t="str">
        <x:v>Medium</x:v>
      </x:c>
      <x:c r="AA42" s="9" t="n">
        <x:v>95</x:v>
      </x:c>
      <x:c r="AB42" s="9" t="n">
        <x:v>0</x:v>
      </x:c>
      <x:c r="AC42" s="9" t="n">
        <x:v>165</x:v>
      </x:c>
      <x:c r="AD42" s="9" t="n">
        <x:v>0</x:v>
      </x:c>
      <x:c r="AE42" s="9" t="n">
        <x:v>4</x:v>
      </x:c>
      <x:c r="AF42" s="9" t="str">
        <x:v>Medium</x:v>
      </x:c>
      <x:c r="AG42" s="9" t="n">
        <x:v>2</x:v>
      </x:c>
      <x:c r="AH42" s="9" t="str">
        <x:v>Medium</x:v>
      </x:c>
      <x:c r="AI42" s="9" t="n">
        <x:v>4</x:v>
      </x:c>
      <x:c r="AJ42" s="9" t="str">
        <x:v>Medium</x:v>
      </x:c>
      <x:c r="AK42" s="13" t="n">
        <x:f>(N42*15+I42*15+Y42*15+AI42*15+AG42*15+W42*15+AE42*10)*20/(15*COUNT(N42,I42,Y42,AI42,AG42,W42)+10*COUNT(AE42))</x:f>
        <x:v>57.5</x:v>
      </x:c>
      <x:c r="AL42" s="13" t="n">
        <x:f>(Q42*15+I42*15+Y42*15+AI42*15+AG42*15+X42*15+AE42*10)*20/(15*COUNT(Q42,I42,Y42,AI42,AG42,X42)+10*COUNT(AE42))</x:f>
        <x:v>57.5</x:v>
      </x:c>
      <x:c r="AM42" s="13" t="n">
        <x:f>(N42+I42+Y42+AI42+AG42)*15/COUNT(N42,I42,Y42,AI42,AG42)</x:f>
        <x:v>39</x:v>
      </x:c>
      <x:c r="AN42" s="13" t="n">
        <x:f>(Q42+I42+Y42+AI42+AG42)*15/COUNT(Q42,I42,Y42,AI42,AG42)</x:f>
        <x:v>39</x:v>
      </x:c>
      <x:c r="AO42" s="9" t="n">
        <x:f>IF(I42=1,1,0)+IF(Y42=1,1,0)+IF(AI42=1,1,0)+IF(AG42=1,1,0)</x:f>
        <x:v>0</x:v>
      </x:c>
      <x:c r="AP42" s="14" t="n">
        <x:f>(IF(M42="High",3,IF(M42="Medium",2,1))+IF(J42="High",3,IF(J42="Medium",2,1))+IF(Z42="High",3,IF(Z42="Medium",2,1))+IF(AF42="High",3,IF(AF42="Medium",2,1))+IF(AH42="High",3,IF(AH42="Medium",2,1))+IF(AJ42="High",3,IF(AJ42="Medium",2,1))+2)/7</x:f>
        <x:v>2.142857142857143</x:v>
      </x:c>
      <x:c r="AQ42" s="14" t="n">
        <x:f>(IF(P42="High",3,IF(P42="Medium",2,1))+IF(J42="High",3,IF(J42="Medium",2,1))+IF(Z42="High",3,IF(Z42="Medium",2,1))+IF(AF42="High",3,IF(AF42="Medium",2,1))+IF(AH42="High",3,IF(AH42="Medium",2,1))+IF(AJ42="High",3,IF(AJ42="Medium",2,1))+2)/7</x:f>
        <x:v>2</x:v>
      </x:c>
      <x:c r="AR42" s="9" t="n">
        <x:f>IF(N42="",1,0)+IF(I42="",1,0)+IF(Y42="",1,0)+IF(AI42="",1,0)+IF(AG42="",1,0)+IF(W42="",1,0)+IF(AE42="",1,0)</x:f>
        <x:v>0</x:v>
      </x:c>
      <x:c r="AS42" s="9" t="n">
        <x:f>IF(Q42="",1,0)+IF(I42="",1,0)+IF(Y42="",1,0)+IF(AI42="",1,0)+IF(AG42="",1,0)+IF(X42="",1,0)+IF(AE42="",1,0)</x:f>
        <x:v>0</x:v>
      </x:c>
      <x:c r="AT42" s="9" t="n">
        <x:v>53</x:v>
      </x:c>
      <x:c r="AU42" s="9" t="n">
        <x:v>53</x:v>
      </x:c>
      <x:c r="AV42" s="9" t="str">
        <x:v>Not proposed</x:v>
      </x:c>
      <x:c r="AW42" s="9" t="str"/>
    </x:row>
    <x:row r="43">
      <x:c r="A43" s="9" t="str">
        <x:v>Preston</x:v>
      </x:c>
      <x:c r="B43" s="9" t="str">
        <x:v>England</x:v>
      </x:c>
      <x:c r="C43" s="9" t="str">
        <x:v>Preston</x:v>
      </x:c>
      <x:c r="D43" s="12" t="n">
        <x:v>53.760554</x:v>
      </x:c>
      <x:c r="E43" s="12" t="n">
        <x:v>-2.698528</x:v>
      </x:c>
      <x:c r="F43" s="9" t="n">
        <x:v>3087</x:v>
      </x:c>
      <x:c r="G43" s="9" t="n">
        <x:v>2352</x:v>
      </x:c>
      <x:c r="H43" s="9" t="str">
        <x:v>data.police.uk street-crime records within 1 mile of Postcodes.io place centroid</x:v>
      </x:c>
      <x:c r="I43" s="9" t="n">
        <x:v>2</x:v>
      </x:c>
      <x:c r="J43" s="9" t="str">
        <x:v>Medium</x:v>
      </x:c>
      <x:c r="K43" s="10" t="n">
        <x:v>104625</x:v>
      </x:c>
      <x:c r="L43" s="9" t="n">
        <x:v>470</x:v>
      </x:c>
      <x:c r="M43" s="9" t="str">
        <x:v>High</x:v>
      </x:c>
      <x:c r="N43" s="9" t="n">
        <x:f>IF(K43&lt;='Methodology'!$B$15,5,IF(K43&gt;='Methodology'!$B$16,1,3))</x:f>
        <x:v>5</x:v>
      </x:c>
      <x:c r="O43" s="10" t="n">
        <x:v>578</x:v>
      </x:c>
      <x:c r="P43" s="9" t="str">
        <x:v>Medium</x:v>
      </x:c>
      <x:c r="Q43" s="9" t="n">
        <x:f>IF(O43&lt;='Methodology'!$B$17,5,IF(O43&gt;='Methodology'!$B$18,1,3))</x:f>
        <x:v>5</x:v>
      </x:c>
      <x:c r="R43" s="9" t="n">
        <x:v>72</x:v>
      </x:c>
      <x:c r="S43" s="9" t="n">
        <x:v>136</x:v>
      </x:c>
      <x:c r="T43" s="9" t="str">
        <x:v>Unclear</x:v>
      </x:c>
      <x:c r="U43" s="9" t="n">
        <x:v>3</x:v>
      </x:c>
      <x:c r="V43" s="9" t="n">
        <x:v>4</x:v>
      </x:c>
      <x:c r="W43" s="13" t="n">
        <x:f>MAX(1,MIN(5,U43+IF(T43="Known",0.5,IF(T43="Likely",0,-0.5))))</x:f>
        <x:v>2.5</x:v>
      </x:c>
      <x:c r="X43" s="13" t="n">
        <x:f>MAX(1,MIN(5,V43+IF(T43="Known",0.5,IF(T43="Likely",0,-0.5))))</x:f>
        <x:v>3.5</x:v>
      </x:c>
      <x:c r="Y43" s="9" t="n">
        <x:v>4</x:v>
      </x:c>
      <x:c r="Z43" s="9" t="str">
        <x:v>Medium</x:v>
      </x:c>
      <x:c r="AA43" s="9" t="n">
        <x:v>130</x:v>
      </x:c>
      <x:c r="AB43" s="9" t="n">
        <x:v>0</x:v>
      </x:c>
      <x:c r="AC43" s="9" t="n">
        <x:v>100</x:v>
      </x:c>
      <x:c r="AD43" s="9" t="n">
        <x:v>0</x:v>
      </x:c>
      <x:c r="AE43" s="9" t="n">
        <x:v>4</x:v>
      </x:c>
      <x:c r="AF43" s="9" t="str">
        <x:v>Medium</x:v>
      </x:c>
      <x:c r="AG43" s="9" t="n">
        <x:v>2</x:v>
      </x:c>
      <x:c r="AH43" s="9" t="str">
        <x:v>Medium</x:v>
      </x:c>
      <x:c r="AI43" s="9" t="n">
        <x:v>3</x:v>
      </x:c>
      <x:c r="AJ43" s="9" t="str">
        <x:v>Low</x:v>
      </x:c>
      <x:c r="AK43" s="13" t="n">
        <x:f>(N43*15+I43*15+Y43*15+AI43*15+AG43*15+W43*15+AE43*10)*20/(15*COUNT(N43,I43,Y43,AI43,AG43,W43)+10*COUNT(AE43))</x:f>
        <x:v>63.5</x:v>
      </x:c>
      <x:c r="AL43" s="13" t="n">
        <x:f>(Q43*15+I43*15+Y43*15+AI43*15+AG43*15+X43*15+AE43*10)*20/(15*COUNT(Q43,I43,Y43,AI43,AG43,X43)+10*COUNT(AE43))</x:f>
        <x:v>66.5</x:v>
      </x:c>
      <x:c r="AM43" s="13" t="n">
        <x:f>(N43+I43+Y43+AI43+AG43)*15/COUNT(N43,I43,Y43,AI43,AG43)</x:f>
        <x:v>48</x:v>
      </x:c>
      <x:c r="AN43" s="13" t="n">
        <x:f>(Q43+I43+Y43+AI43+AG43)*15/COUNT(Q43,I43,Y43,AI43,AG43)</x:f>
        <x:v>48</x:v>
      </x:c>
      <x:c r="AO43" s="9" t="n">
        <x:f>IF(I43=1,1,0)+IF(Y43=1,1,0)+IF(AI43=1,1,0)+IF(AG43=1,1,0)</x:f>
        <x:v>0</x:v>
      </x:c>
      <x:c r="AP43" s="14" t="n">
        <x:f>(IF(M43="High",3,IF(M43="Medium",2,1))+IF(J43="High",3,IF(J43="Medium",2,1))+IF(Z43="High",3,IF(Z43="Medium",2,1))+IF(AF43="High",3,IF(AF43="Medium",2,1))+IF(AH43="High",3,IF(AH43="Medium",2,1))+IF(AJ43="High",3,IF(AJ43="Medium",2,1))+2)/7</x:f>
        <x:v>2</x:v>
      </x:c>
      <x:c r="AQ43" s="14" t="n">
        <x:f>(IF(P43="High",3,IF(P43="Medium",2,1))+IF(J43="High",3,IF(J43="Medium",2,1))+IF(Z43="High",3,IF(Z43="Medium",2,1))+IF(AF43="High",3,IF(AF43="Medium",2,1))+IF(AH43="High",3,IF(AH43="Medium",2,1))+IF(AJ43="High",3,IF(AJ43="Medium",2,1))+2)/7</x:f>
        <x:v>1.8571428571428572</x:v>
      </x:c>
      <x:c r="AR43" s="9" t="n">
        <x:f>IF(N43="",1,0)+IF(I43="",1,0)+IF(Y43="",1,0)+IF(AI43="",1,0)+IF(AG43="",1,0)+IF(W43="",1,0)+IF(AE43="",1,0)</x:f>
        <x:v>0</x:v>
      </x:c>
      <x:c r="AS43" s="9" t="n">
        <x:f>IF(Q43="",1,0)+IF(I43="",1,0)+IF(Y43="",1,0)+IF(AI43="",1,0)+IF(AG43="",1,0)+IF(X43="",1,0)+IF(AE43="",1,0)</x:f>
        <x:v>0</x:v>
      </x:c>
      <x:c r="AT43" s="9" t="n">
        <x:v>28</x:v>
      </x:c>
      <x:c r="AU43" s="9" t="n">
        <x:v>16</x:v>
      </x:c>
      <x:c r="AV43" s="9" t="str">
        <x:v>Not proposed</x:v>
      </x:c>
      <x:c r="AW43" s="9" t="str"/>
    </x:row>
    <x:row r="44">
      <x:c r="A44" s="9" t="str">
        <x:v>Rotherham</x:v>
      </x:c>
      <x:c r="B44" s="9" t="str">
        <x:v>England</x:v>
      </x:c>
      <x:c r="C44" s="9" t="str">
        <x:v>Rotherham</x:v>
      </x:c>
      <x:c r="D44" s="12" t="n">
        <x:v>53.43072</x:v>
      </x:c>
      <x:c r="E44" s="12" t="n">
        <x:v>-1.354738</x:v>
      </x:c>
      <x:c r="F44" s="9" t="n">
        <x:v>1825</x:v>
      </x:c>
      <x:c r="G44" s="9" t="n">
        <x:v>846</x:v>
      </x:c>
      <x:c r="H44" s="9" t="str">
        <x:v>data.police.uk street-crime records within 1 mile of Postcodes.io place centroid</x:v>
      </x:c>
      <x:c r="I44" s="9" t="n">
        <x:v>4</x:v>
      </x:c>
      <x:c r="J44" s="9" t="str">
        <x:v>Medium</x:v>
      </x:c>
      <x:c r="K44" s="10" t="n">
        <x:v>111625</x:v>
      </x:c>
      <x:c r="L44" s="9" t="n">
        <x:v>260</x:v>
      </x:c>
      <x:c r="M44" s="9" t="str">
        <x:v>High</x:v>
      </x:c>
      <x:c r="N44" s="9" t="n">
        <x:f>IF(K44&lt;='Methodology'!$B$15,5,IF(K44&gt;='Methodology'!$B$16,1,3))</x:f>
        <x:v>3</x:v>
      </x:c>
      <x:c r="O44" s="10" t="n">
        <x:v>486</x:v>
      </x:c>
      <x:c r="P44" s="9" t="str">
        <x:v>Medium</x:v>
      </x:c>
      <x:c r="Q44" s="9" t="n">
        <x:f>IF(O44&lt;='Methodology'!$B$17,5,IF(O44&gt;='Methodology'!$B$18,1,3))</x:f>
        <x:v>5</x:v>
      </x:c>
      <x:c r="R44" s="9" t="n">
        <x:v>19</x:v>
      </x:c>
      <x:c r="S44" s="9" t="n">
        <x:v>25</x:v>
      </x:c>
      <x:c r="T44" s="9" t="str">
        <x:v>Unclear</x:v>
      </x:c>
      <x:c r="U44" s="9" t="n">
        <x:v>2</x:v>
      </x:c>
      <x:c r="V44" s="9" t="n">
        <x:v>3</x:v>
      </x:c>
      <x:c r="W44" s="13" t="n">
        <x:f>MAX(1,MIN(5,U44+IF(T44="Known",0.5,IF(T44="Likely",0,-0.5))))</x:f>
        <x:v>1.5</x:v>
      </x:c>
      <x:c r="X44" s="13" t="n">
        <x:f>MAX(1,MIN(5,V44+IF(T44="Known",0.5,IF(T44="Likely",0,-0.5))))</x:f>
        <x:v>2.5</x:v>
      </x:c>
      <x:c r="Y44" s="9" t="n">
        <x:v>4</x:v>
      </x:c>
      <x:c r="Z44" s="9" t="str">
        <x:v>High</x:v>
      </x:c>
      <x:c r="AA44" s="9" t="n">
        <x:v>145</x:v>
      </x:c>
      <x:c r="AB44" s="9" t="n">
        <x:v>1</x:v>
      </x:c>
      <x:c r="AC44" s="9" t="n">
        <x:v>100</x:v>
      </x:c>
      <x:c r="AD44" s="9" t="n">
        <x:v>1</x:v>
      </x:c>
      <x:c r="AE44" s="9" t="n">
        <x:v>4</x:v>
      </x:c>
      <x:c r="AF44" s="9" t="str">
        <x:v>Medium</x:v>
      </x:c>
      <x:c r="AG44" s="9" t="n">
        <x:v>2</x:v>
      </x:c>
      <x:c r="AH44" s="9" t="str">
        <x:v>Medium</x:v>
      </x:c>
      <x:c r="AI44" s="9" t="n">
        <x:v>2</x:v>
      </x:c>
      <x:c r="AJ44" s="9" t="str">
        <x:v>Low</x:v>
      </x:c>
      <x:c r="AK44" s="13" t="n">
        <x:f>(N44*15+I44*15+Y44*15+AI44*15+AG44*15+W44*15+AE44*10)*20/(15*COUNT(N44,I44,Y44,AI44,AG44,W44)+10*COUNT(AE44))</x:f>
        <x:v>57.5</x:v>
      </x:c>
      <x:c r="AL44" s="13" t="n">
        <x:f>(Q44*15+I44*15+Y44*15+AI44*15+AG44*15+X44*15+AE44*10)*20/(15*COUNT(Q44,I44,Y44,AI44,AG44,X44)+10*COUNT(AE44))</x:f>
        <x:v>66.5</x:v>
      </x:c>
      <x:c r="AM44" s="13" t="n">
        <x:f>(N44+I44+Y44+AI44+AG44)*15/COUNT(N44,I44,Y44,AI44,AG44)</x:f>
        <x:v>45</x:v>
      </x:c>
      <x:c r="AN44" s="13" t="n">
        <x:f>(Q44+I44+Y44+AI44+AG44)*15/COUNT(Q44,I44,Y44,AI44,AG44)</x:f>
        <x:v>51</x:v>
      </x:c>
      <x:c r="AO44" s="9" t="n">
        <x:f>IF(I44=1,1,0)+IF(Y44=1,1,0)+IF(AI44=1,1,0)+IF(AG44=1,1,0)</x:f>
        <x:v>0</x:v>
      </x:c>
      <x:c r="AP44" s="14" t="n">
        <x:f>(IF(M44="High",3,IF(M44="Medium",2,1))+IF(J44="High",3,IF(J44="Medium",2,1))+IF(Z44="High",3,IF(Z44="Medium",2,1))+IF(AF44="High",3,IF(AF44="Medium",2,1))+IF(AH44="High",3,IF(AH44="Medium",2,1))+IF(AJ44="High",3,IF(AJ44="Medium",2,1))+2)/7</x:f>
        <x:v>2.142857142857143</x:v>
      </x:c>
      <x:c r="AQ44" s="14" t="n">
        <x:f>(IF(P44="High",3,IF(P44="Medium",2,1))+IF(J44="High",3,IF(J44="Medium",2,1))+IF(Z44="High",3,IF(Z44="Medium",2,1))+IF(AF44="High",3,IF(AF44="Medium",2,1))+IF(AH44="High",3,IF(AH44="Medium",2,1))+IF(AJ44="High",3,IF(AJ44="Medium",2,1))+2)/7</x:f>
        <x:v>2</x:v>
      </x:c>
      <x:c r="AR44" s="9" t="n">
        <x:f>IF(N44="",1,0)+IF(I44="",1,0)+IF(Y44="",1,0)+IF(AI44="",1,0)+IF(AG44="",1,0)+IF(W44="",1,0)+IF(AE44="",1,0)</x:f>
        <x:v>0</x:v>
      </x:c>
      <x:c r="AS44" s="9" t="n">
        <x:f>IF(Q44="",1,0)+IF(I44="",1,0)+IF(Y44="",1,0)+IF(AI44="",1,0)+IF(AG44="",1,0)+IF(X44="",1,0)+IF(AE44="",1,0)</x:f>
        <x:v>0</x:v>
      </x:c>
      <x:c r="AT44" s="9" t="n">
        <x:v>52</x:v>
      </x:c>
      <x:c r="AU44" s="9" t="n">
        <x:v>13</x:v>
      </x:c>
      <x:c r="AV44" s="9" t="str">
        <x:v>Not proposed</x:v>
      </x:c>
      <x:c r="AW44" s="9" t="str"/>
    </x:row>
    <x:row r="45">
      <x:c r="A45" s="9" t="str">
        <x:v>Salford</x:v>
      </x:c>
      <x:c r="B45" s="9" t="str">
        <x:v>England</x:v>
      </x:c>
      <x:c r="C45" s="9" t="str">
        <x:v>Salford</x:v>
      </x:c>
      <x:c r="D45" s="12" t="n">
        <x:v>53.480643</x:v>
      </x:c>
      <x:c r="E45" s="12" t="n">
        <x:v>-2.294998</x:v>
      </x:c>
      <x:c r="F45" s="9"/>
      <x:c r="G45" s="9"/>
      <x:c r="H45" s="9" t="str">
        <x:v>data.police.uk street-crime records within 1 mile of Postcodes.io place centroid</x:v>
      </x:c>
      <x:c r="I45" s="9"/>
      <x:c r="J45" s="9" t="str">
        <x:v>Low</x:v>
      </x:c>
      <x:c r="K45" s="10" t="n">
        <x:v>190000</x:v>
      </x:c>
      <x:c r="L45" s="9" t="n">
        <x:v>1850</x:v>
      </x:c>
      <x:c r="M45" s="9" t="str">
        <x:v>High</x:v>
      </x:c>
      <x:c r="N45" s="9" t="n">
        <x:f>IF(K45&lt;='Methodology'!$B$15,5,IF(K45&gt;='Methodology'!$B$16,1,3))</x:f>
        <x:v>1</x:v>
      </x:c>
      <x:c r="O45" s="10" t="n">
        <x:v>886</x:v>
      </x:c>
      <x:c r="P45" s="9" t="str">
        <x:v>Medium</x:v>
      </x:c>
      <x:c r="Q45" s="9" t="n">
        <x:f>IF(O45&lt;='Methodology'!$B$17,5,IF(O45&gt;='Methodology'!$B$18,1,3))</x:f>
        <x:v>1</x:v>
      </x:c>
      <x:c r="R45" s="9" t="n">
        <x:v>513</x:v>
      </x:c>
      <x:c r="S45" s="9" t="n">
        <x:v>531</x:v>
      </x:c>
      <x:c r="T45" s="9" t="str">
        <x:v>Unclear</x:v>
      </x:c>
      <x:c r="U45" s="9" t="n">
        <x:v>5</x:v>
      </x:c>
      <x:c r="V45" s="9" t="n">
        <x:v>5</x:v>
      </x:c>
      <x:c r="W45" s="13" t="n">
        <x:f>MAX(1,MIN(5,U45+IF(T45="Known",0.5,IF(T45="Likely",0,-0.5))))</x:f>
        <x:v>4.5</x:v>
      </x:c>
      <x:c r="X45" s="13" t="n">
        <x:f>MAX(1,MIN(5,V45+IF(T45="Known",0.5,IF(T45="Likely",0,-0.5))))</x:f>
        <x:v>4.5</x:v>
      </x:c>
      <x:c r="Y45" s="9" t="n">
        <x:v>5</x:v>
      </x:c>
      <x:c r="Z45" s="9" t="str">
        <x:v>High</x:v>
      </x:c>
      <x:c r="AA45" s="9" t="n">
        <x:v>135</x:v>
      </x:c>
      <x:c r="AB45" s="9" t="n">
        <x:v>0</x:v>
      </x:c>
      <x:c r="AC45" s="9" t="n">
        <x:v>95</x:v>
      </x:c>
      <x:c r="AD45" s="9" t="n">
        <x:v>0</x:v>
      </x:c>
      <x:c r="AE45" s="9" t="n">
        <x:v>4</x:v>
      </x:c>
      <x:c r="AF45" s="9" t="str">
        <x:v>Low</x:v>
      </x:c>
      <x:c r="AG45" s="9" t="n">
        <x:v>2</x:v>
      </x:c>
      <x:c r="AH45" s="9" t="str">
        <x:v>Medium</x:v>
      </x:c>
      <x:c r="AI45" s="9" t="n">
        <x:v>3</x:v>
      </x:c>
      <x:c r="AJ45" s="9" t="str">
        <x:v>Low</x:v>
      </x:c>
      <x:c r="AK45" s="13" t="n">
        <x:f>(N45*15+I45*15+Y45*15+AI45*15+AG45*15+W45*15+AE45*10)*20/(15*COUNT(N45,I45,Y45,AI45,AG45,W45)+10*COUNT(AE45))</x:f>
        <x:v>64.11764705882354</x:v>
      </x:c>
      <x:c r="AL45" s="13" t="n">
        <x:f>(Q45*15+I45*15+Y45*15+AI45*15+AG45*15+X45*15+AE45*10)*20/(15*COUNT(Q45,I45,Y45,AI45,AG45,X45)+10*COUNT(AE45))</x:f>
        <x:v>64.11764705882354</x:v>
      </x:c>
      <x:c r="AM45" s="13" t="n">
        <x:f>(N45+I45+Y45+AI45+AG45)*15/COUNT(N45,I45,Y45,AI45,AG45)</x:f>
        <x:v>41.25</x:v>
      </x:c>
      <x:c r="AN45" s="13" t="n">
        <x:f>(Q45+I45+Y45+AI45+AG45)*15/COUNT(Q45,I45,Y45,AI45,AG45)</x:f>
        <x:v>41.25</x:v>
      </x:c>
      <x:c r="AO45" s="9" t="n">
        <x:f>IF(I45=1,1,0)+IF(Y45=1,1,0)+IF(AI45=1,1,0)+IF(AG45=1,1,0)</x:f>
        <x:v>0</x:v>
      </x:c>
      <x:c r="AP45" s="14" t="n">
        <x:f>(IF(M45="High",3,IF(M45="Medium",2,1))+IF(J45="High",3,IF(J45="Medium",2,1))+IF(Z45="High",3,IF(Z45="Medium",2,1))+IF(AF45="High",3,IF(AF45="Medium",2,1))+IF(AH45="High",3,IF(AH45="Medium",2,1))+IF(AJ45="High",3,IF(AJ45="Medium",2,1))+2)/7</x:f>
        <x:v>1.8571428571428572</x:v>
      </x:c>
      <x:c r="AQ45" s="14" t="n">
        <x:f>(IF(P45="High",3,IF(P45="Medium",2,1))+IF(J45="High",3,IF(J45="Medium",2,1))+IF(Z45="High",3,IF(Z45="Medium",2,1))+IF(AF45="High",3,IF(AF45="Medium",2,1))+IF(AH45="High",3,IF(AH45="Medium",2,1))+IF(AJ45="High",3,IF(AJ45="Medium",2,1))+2)/7</x:f>
        <x:v>1.7142857142857142</x:v>
      </x:c>
      <x:c r="AR45" s="9" t="n">
        <x:f>IF(N45="",1,0)+IF(I45="",1,0)+IF(Y45="",1,0)+IF(AI45="",1,0)+IF(AG45="",1,0)+IF(W45="",1,0)+IF(AE45="",1,0)</x:f>
        <x:v>1</x:v>
      </x:c>
      <x:c r="AS45" s="9" t="n">
        <x:f>IF(Q45="",1,0)+IF(I45="",1,0)+IF(Y45="",1,0)+IF(AI45="",1,0)+IF(AG45="",1,0)+IF(X45="",1,0)+IF(AE45="",1,0)</x:f>
        <x:v>1</x:v>
      </x:c>
      <x:c r="AT45" s="9" t="n">
        <x:v>26</x:v>
      </x:c>
      <x:c r="AU45" s="9" t="n">
        <x:v>31</x:v>
      </x:c>
      <x:c r="AV45" s="9" t="str">
        <x:v>Not proposed</x:v>
      </x:c>
      <x:c r="AW45" s="9" t="str"/>
    </x:row>
    <x:row r="46">
      <x:c r="A46" s="9" t="str">
        <x:v>Sheffield</x:v>
      </x:c>
      <x:c r="B46" s="9" t="str">
        <x:v>England</x:v>
      </x:c>
      <x:c r="C46" s="9" t="str">
        <x:v>Sheffield</x:v>
      </x:c>
      <x:c r="D46" s="12" t="n">
        <x:v>53.382508</x:v>
      </x:c>
      <x:c r="E46" s="12" t="n">
        <x:v>-1.468536</x:v>
      </x:c>
      <x:c r="F46" s="9" t="n">
        <x:v>4093</x:v>
      </x:c>
      <x:c r="G46" s="9" t="n">
        <x:v>2297</x:v>
      </x:c>
      <x:c r="H46" s="9" t="str">
        <x:v>data.police.uk street-crime records within 1 mile of Postcodes.io place centroid</x:v>
      </x:c>
      <x:c r="I46" s="9" t="n">
        <x:v>1</x:v>
      </x:c>
      <x:c r="J46" s="9" t="str">
        <x:v>Medium</x:v>
      </x:c>
      <x:c r="K46" s="10" t="n">
        <x:v>140000</x:v>
      </x:c>
      <x:c r="L46" s="9" t="n">
        <x:v>1707</x:v>
      </x:c>
      <x:c r="M46" s="9" t="str">
        <x:v>High</x:v>
      </x:c>
      <x:c r="N46" s="9" t="n">
        <x:f>IF(K46&lt;='Methodology'!$B$15,5,IF(K46&gt;='Methodology'!$B$16,1,3))</x:f>
        <x:v>1</x:v>
      </x:c>
      <x:c r="O46" s="10" t="n">
        <x:v>689</x:v>
      </x:c>
      <x:c r="P46" s="9" t="str">
        <x:v>Medium</x:v>
      </x:c>
      <x:c r="Q46" s="9" t="n">
        <x:f>IF(O46&lt;='Methodology'!$B$17,5,IF(O46&gt;='Methodology'!$B$18,1,3))</x:f>
        <x:v>3</x:v>
      </x:c>
      <x:c r="R46" s="9" t="n">
        <x:v>257</x:v>
      </x:c>
      <x:c r="S46" s="9" t="n">
        <x:v>401</x:v>
      </x:c>
      <x:c r="T46" s="9" t="str">
        <x:v>Unclear</x:v>
      </x:c>
      <x:c r="U46" s="9" t="n">
        <x:v>5</x:v>
      </x:c>
      <x:c r="V46" s="9" t="n">
        <x:v>5</x:v>
      </x:c>
      <x:c r="W46" s="13" t="n">
        <x:f>MAX(1,MIN(5,U46+IF(T46="Known",0.5,IF(T46="Likely",0,-0.5))))</x:f>
        <x:v>4.5</x:v>
      </x:c>
      <x:c r="X46" s="13" t="n">
        <x:f>MAX(1,MIN(5,V46+IF(T46="Known",0.5,IF(T46="Likely",0,-0.5))))</x:f>
        <x:v>4.5</x:v>
      </x:c>
      <x:c r="Y46" s="9" t="n">
        <x:v>5</x:v>
      </x:c>
      <x:c r="Z46" s="9" t="str">
        <x:v>High</x:v>
      </x:c>
      <x:c r="AA46" s="9" t="n">
        <x:v>120</x:v>
      </x:c>
      <x:c r="AB46" s="9" t="n">
        <x:v>0</x:v>
      </x:c>
      <x:c r="AC46" s="9" t="n">
        <x:v>75</x:v>
      </x:c>
      <x:c r="AD46" s="9" t="n">
        <x:v>0</x:v>
      </x:c>
      <x:c r="AE46" s="9" t="n">
        <x:v>4</x:v>
      </x:c>
      <x:c r="AF46" s="9" t="str">
        <x:v>Medium</x:v>
      </x:c>
      <x:c r="AG46" s="9" t="n">
        <x:v>3</x:v>
      </x:c>
      <x:c r="AH46" s="9" t="str">
        <x:v>Medium</x:v>
      </x:c>
      <x:c r="AI46" s="9" t="n">
        <x:v>4</x:v>
      </x:c>
      <x:c r="AJ46" s="9" t="str">
        <x:v>Medium</x:v>
      </x:c>
      <x:c r="AK46" s="13" t="n">
        <x:f>(N46*15+I46*15+Y46*15+AI46*15+AG46*15+W46*15+AE46*10)*20/(15*COUNT(N46,I46,Y46,AI46,AG46,W46)+10*COUNT(AE46))</x:f>
        <x:v>63.5</x:v>
      </x:c>
      <x:c r="AL46" s="13" t="n">
        <x:f>(Q46*15+I46*15+Y46*15+AI46*15+AG46*15+X46*15+AE46*10)*20/(15*COUNT(Q46,I46,Y46,AI46,AG46,X46)+10*COUNT(AE46))</x:f>
        <x:v>69.5</x:v>
      </x:c>
      <x:c r="AM46" s="13" t="n">
        <x:f>(N46+I46+Y46+AI46+AG46)*15/COUNT(N46,I46,Y46,AI46,AG46)</x:f>
        <x:v>42</x:v>
      </x:c>
      <x:c r="AN46" s="13" t="n">
        <x:f>(Q46+I46+Y46+AI46+AG46)*15/COUNT(Q46,I46,Y46,AI46,AG46)</x:f>
        <x:v>48</x:v>
      </x:c>
      <x:c r="AO46" s="9" t="n">
        <x:f>IF(I46=1,1,0)+IF(Y46=1,1,0)+IF(AI46=1,1,0)+IF(AG46=1,1,0)</x:f>
        <x:v>1</x:v>
      </x:c>
      <x:c r="AP46" s="14" t="n">
        <x:f>(IF(M46="High",3,IF(M46="Medium",2,1))+IF(J46="High",3,IF(J46="Medium",2,1))+IF(Z46="High",3,IF(Z46="Medium",2,1))+IF(AF46="High",3,IF(AF46="Medium",2,1))+IF(AH46="High",3,IF(AH46="Medium",2,1))+IF(AJ46="High",3,IF(AJ46="Medium",2,1))+2)/7</x:f>
        <x:v>2.2857142857142856</x:v>
      </x:c>
      <x:c r="AQ46" s="14" t="n">
        <x:f>(IF(P46="High",3,IF(P46="Medium",2,1))+IF(J46="High",3,IF(J46="Medium",2,1))+IF(Z46="High",3,IF(Z46="Medium",2,1))+IF(AF46="High",3,IF(AF46="Medium",2,1))+IF(AH46="High",3,IF(AH46="Medium",2,1))+IF(AJ46="High",3,IF(AJ46="Medium",2,1))+2)/7</x:f>
        <x:v>2.142857142857143</x:v>
      </x:c>
      <x:c r="AR46" s="9" t="n">
        <x:f>IF(N46="",1,0)+IF(I46="",1,0)+IF(Y46="",1,0)+IF(AI46="",1,0)+IF(AG46="",1,0)+IF(W46="",1,0)+IF(AE46="",1,0)</x:f>
        <x:v>0</x:v>
      </x:c>
      <x:c r="AS46" s="9" t="n">
        <x:f>IF(Q46="",1,0)+IF(I46="",1,0)+IF(Y46="",1,0)+IF(AI46="",1,0)+IF(AG46="",1,0)+IF(X46="",1,0)+IF(AE46="",1,0)</x:f>
        <x:v>0</x:v>
      </x:c>
      <x:c r="AT46" s="9" t="n">
        <x:v>32</x:v>
      </x:c>
      <x:c r="AU46" s="9" t="n">
        <x:v>8</x:v>
      </x:c>
      <x:c r="AV46" s="9" t="str">
        <x:v>Proposed</x:v>
      </x:c>
      <x:c r="AW46" s="9" t="str">
        <x:v>Rent</x:v>
      </x:c>
    </x:row>
    <x:row r="47">
      <x:c r="A47" s="9" t="str">
        <x:v>Shrewsbury</x:v>
      </x:c>
      <x:c r="B47" s="9" t="str">
        <x:v>England</x:v>
      </x:c>
      <x:c r="C47" s="9" t="str">
        <x:v>Shropshire</x:v>
      </x:c>
      <x:c r="D47" s="12" t="n">
        <x:v>52.708167</x:v>
      </x:c>
      <x:c r="E47" s="12" t="n">
        <x:v>-2.754329</x:v>
      </x:c>
      <x:c r="F47" s="9" t="n">
        <x:v>1093</x:v>
      </x:c>
      <x:c r="G47" s="9" t="n">
        <x:v>356</x:v>
      </x:c>
      <x:c r="H47" s="9" t="str">
        <x:v>data.police.uk street-crime records within 1 mile of Postcodes.io place centroid</x:v>
      </x:c>
      <x:c r="I47" s="9" t="n">
        <x:v>5</x:v>
      </x:c>
      <x:c r="J47" s="9" t="str">
        <x:v>Medium</x:v>
      </x:c>
      <x:c r="K47" s="10" t="n">
        <x:v>157500</x:v>
      </x:c>
      <x:c r="L47" s="9" t="n">
        <x:v>309</x:v>
      </x:c>
      <x:c r="M47" s="9" t="str">
        <x:v>High</x:v>
      </x:c>
      <x:c r="N47" s="9" t="n">
        <x:f>IF(K47&lt;='Methodology'!$B$15,5,IF(K47&gt;='Methodology'!$B$16,1,3))</x:f>
        <x:v>1</x:v>
      </x:c>
      <x:c r="O47" s="10" t="n">
        <x:v>605</x:v>
      </x:c>
      <x:c r="P47" s="9" t="str">
        <x:v>Medium</x:v>
      </x:c>
      <x:c r="Q47" s="9" t="n">
        <x:f>IF(O47&lt;='Methodology'!$B$17,5,IF(O47&gt;='Methodology'!$B$18,1,3))</x:f>
        <x:v>3</x:v>
      </x:c>
      <x:c r="R47" s="9" t="n">
        <x:v>33</x:v>
      </x:c>
      <x:c r="S47" s="9" t="n">
        <x:v>33</x:v>
      </x:c>
      <x:c r="T47" s="9" t="str">
        <x:v>Unclear</x:v>
      </x:c>
      <x:c r="U47" s="9" t="n">
        <x:v>3</x:v>
      </x:c>
      <x:c r="V47" s="9" t="n">
        <x:v>3</x:v>
      </x:c>
      <x:c r="W47" s="13" t="n">
        <x:f>MAX(1,MIN(5,U47+IF(T47="Known",0.5,IF(T47="Likely",0,-0.5))))</x:f>
        <x:v>2.5</x:v>
      </x:c>
      <x:c r="X47" s="13" t="n">
        <x:f>MAX(1,MIN(5,V47+IF(T47="Known",0.5,IF(T47="Likely",0,-0.5))))</x:f>
        <x:v>2.5</x:v>
      </x:c>
      <x:c r="Y47" s="9" t="n">
        <x:v>3</x:v>
      </x:c>
      <x:c r="Z47" s="9" t="str">
        <x:v>Medium</x:v>
      </x:c>
      <x:c r="AA47" s="9" t="n">
        <x:v>150</x:v>
      </x:c>
      <x:c r="AB47" s="9" t="n">
        <x:v>1</x:v>
      </x:c>
      <x:c r="AC47" s="9" t="n">
        <x:v>60</x:v>
      </x:c>
      <x:c r="AD47" s="9" t="n">
        <x:v>0</x:v>
      </x:c>
      <x:c r="AE47" s="9" t="n">
        <x:v>4</x:v>
      </x:c>
      <x:c r="AF47" s="9" t="str">
        <x:v>Medium</x:v>
      </x:c>
      <x:c r="AG47" s="9" t="n">
        <x:v>4</x:v>
      </x:c>
      <x:c r="AH47" s="9" t="str">
        <x:v>Medium</x:v>
      </x:c>
      <x:c r="AI47" s="9" t="n">
        <x:v>5</x:v>
      </x:c>
      <x:c r="AJ47" s="9" t="str">
        <x:v>Medium</x:v>
      </x:c>
      <x:c r="AK47" s="13" t="n">
        <x:f>(N47*15+I47*15+Y47*15+AI47*15+AG47*15+W47*15+AE47*10)*20/(15*COUNT(N47,I47,Y47,AI47,AG47,W47)+10*COUNT(AE47))</x:f>
        <x:v>69.5</x:v>
      </x:c>
      <x:c r="AL47" s="13" t="n">
        <x:f>(Q47*15+I47*15+Y47*15+AI47*15+AG47*15+X47*15+AE47*10)*20/(15*COUNT(Q47,I47,Y47,AI47,AG47,X47)+10*COUNT(AE47))</x:f>
        <x:v>75.5</x:v>
      </x:c>
      <x:c r="AM47" s="13" t="n">
        <x:f>(N47+I47+Y47+AI47+AG47)*15/COUNT(N47,I47,Y47,AI47,AG47)</x:f>
        <x:v>54</x:v>
      </x:c>
      <x:c r="AN47" s="13" t="n">
        <x:f>(Q47+I47+Y47+AI47+AG47)*15/COUNT(Q47,I47,Y47,AI47,AG47)</x:f>
        <x:v>60</x:v>
      </x:c>
      <x:c r="AO47" s="9" t="n">
        <x:f>IF(I47=1,1,0)+IF(Y47=1,1,0)+IF(AI47=1,1,0)+IF(AG47=1,1,0)</x:f>
        <x:v>0</x:v>
      </x:c>
      <x:c r="AP47" s="14" t="n">
        <x:f>(IF(M47="High",3,IF(M47="Medium",2,1))+IF(J47="High",3,IF(J47="Medium",2,1))+IF(Z47="High",3,IF(Z47="Medium",2,1))+IF(AF47="High",3,IF(AF47="Medium",2,1))+IF(AH47="High",3,IF(AH47="Medium",2,1))+IF(AJ47="High",3,IF(AJ47="Medium",2,1))+2)/7</x:f>
        <x:v>2.142857142857143</x:v>
      </x:c>
      <x:c r="AQ47" s="14" t="n">
        <x:f>(IF(P47="High",3,IF(P47="Medium",2,1))+IF(J47="High",3,IF(J47="Medium",2,1))+IF(Z47="High",3,IF(Z47="Medium",2,1))+IF(AF47="High",3,IF(AF47="Medium",2,1))+IF(AH47="High",3,IF(AH47="Medium",2,1))+IF(AJ47="High",3,IF(AJ47="Medium",2,1))+2)/7</x:f>
        <x:v>2</x:v>
      </x:c>
      <x:c r="AR47" s="9" t="n">
        <x:f>IF(N47="",1,0)+IF(I47="",1,0)+IF(Y47="",1,0)+IF(AI47="",1,0)+IF(AG47="",1,0)+IF(W47="",1,0)+IF(AE47="",1,0)</x:f>
        <x:v>0</x:v>
      </x:c>
      <x:c r="AS47" s="9" t="n">
        <x:f>IF(Q47="",1,0)+IF(I47="",1,0)+IF(Y47="",1,0)+IF(AI47="",1,0)+IF(AG47="",1,0)+IF(X47="",1,0)+IF(AE47="",1,0)</x:f>
        <x:v>0</x:v>
      </x:c>
      <x:c r="AT47" s="9" t="n">
        <x:v>7</x:v>
      </x:c>
      <x:c r="AU47" s="9" t="n">
        <x:v>1</x:v>
      </x:c>
      <x:c r="AV47" s="9" t="str">
        <x:v>Proposed</x:v>
      </x:c>
      <x:c r="AW47" s="9" t="str">
        <x:v>Both</x:v>
      </x:c>
    </x:row>
    <x:row r="48">
      <x:c r="A48" s="9" t="str">
        <x:v>St Helens</x:v>
      </x:c>
      <x:c r="B48" s="9" t="str">
        <x:v>England</x:v>
      </x:c>
      <x:c r="C48" s="9" t="str">
        <x:v>St. Helens</x:v>
      </x:c>
      <x:c r="D48" s="12" t="n">
        <x:v>53.455338</x:v>
      </x:c>
      <x:c r="E48" s="12" t="n">
        <x:v>-2.738189</x:v>
      </x:c>
      <x:c r="F48" s="9" t="n">
        <x:v>2022</x:v>
      </x:c>
      <x:c r="G48" s="9" t="n">
        <x:v>523</x:v>
      </x:c>
      <x:c r="H48" s="9" t="str">
        <x:v>data.police.uk street-crime records within 1 mile of Postcodes.io place centroid</x:v>
      </x:c>
      <x:c r="I48" s="9" t="n">
        <x:v>4</x:v>
      </x:c>
      <x:c r="J48" s="9" t="str">
        <x:v>Medium</x:v>
      </x:c>
      <x:c r="K48" s="10" t="n">
        <x:v>94000</x:v>
      </x:c>
      <x:c r="L48" s="9" t="n">
        <x:v>146</x:v>
      </x:c>
      <x:c r="M48" s="9" t="str">
        <x:v>High</x:v>
      </x:c>
      <x:c r="N48" s="9" t="n">
        <x:f>IF(K48&lt;='Methodology'!$B$15,5,IF(K48&gt;='Methodology'!$B$16,1,3))</x:f>
        <x:v>5</x:v>
      </x:c>
      <x:c r="O48" s="10" t="n">
        <x:v>590</x:v>
      </x:c>
      <x:c r="P48" s="9" t="str">
        <x:v>Medium</x:v>
      </x:c>
      <x:c r="Q48" s="9" t="n">
        <x:f>IF(O48&lt;='Methodology'!$B$17,5,IF(O48&gt;='Methodology'!$B$18,1,3))</x:f>
        <x:v>3</x:v>
      </x:c>
      <x:c r="R48" s="9" t="n">
        <x:v>9</x:v>
      </x:c>
      <x:c r="S48" s="9" t="n">
        <x:v>24</x:v>
      </x:c>
      <x:c r="T48" s="9" t="str">
        <x:v>Unclear</x:v>
      </x:c>
      <x:c r="U48" s="9" t="n">
        <x:v>1</x:v>
      </x:c>
      <x:c r="V48" s="9" t="n">
        <x:v>2</x:v>
      </x:c>
      <x:c r="W48" s="13" t="n">
        <x:f>MAX(1,MIN(5,U48+IF(T48="Known",0.5,IF(T48="Likely",0,-0.5))))</x:f>
        <x:v>1</x:v>
      </x:c>
      <x:c r="X48" s="13" t="n">
        <x:f>MAX(1,MIN(5,V48+IF(T48="Known",0.5,IF(T48="Likely",0,-0.5))))</x:f>
        <x:v>1.5</x:v>
      </x:c>
      <x:c r="Y48" s="9" t="n">
        <x:v>3</x:v>
      </x:c>
      <x:c r="Z48" s="9" t="str">
        <x:v>High</x:v>
      </x:c>
      <x:c r="AA48" s="9" t="n">
        <x:v>145</x:v>
      </x:c>
      <x:c r="AB48" s="9" t="n">
        <x:v>1</x:v>
      </x:c>
      <x:c r="AC48" s="9" t="n">
        <x:v>90</x:v>
      </x:c>
      <x:c r="AD48" s="9" t="n">
        <x:v>1</x:v>
      </x:c>
      <x:c r="AE48" s="9" t="n">
        <x:v>4</x:v>
      </x:c>
      <x:c r="AF48" s="9" t="str">
        <x:v>Medium</x:v>
      </x:c>
      <x:c r="AG48" s="9" t="n">
        <x:v>2</x:v>
      </x:c>
      <x:c r="AH48" s="9" t="str">
        <x:v>Medium</x:v>
      </x:c>
      <x:c r="AI48" s="9" t="n">
        <x:v>2</x:v>
      </x:c>
      <x:c r="AJ48" s="9" t="str">
        <x:v>Low</x:v>
      </x:c>
      <x:c r="AK48" s="13" t="n">
        <x:f>(N48*15+I48*15+Y48*15+AI48*15+AG48*15+W48*15+AE48*10)*20/(15*COUNT(N48,I48,Y48,AI48,AG48,W48)+10*COUNT(AE48))</x:f>
        <x:v>59</x:v>
      </x:c>
      <x:c r="AL48" s="13" t="n">
        <x:f>(Q48*15+I48*15+Y48*15+AI48*15+AG48*15+X48*15+AE48*10)*20/(15*COUNT(Q48,I48,Y48,AI48,AG48,X48)+10*COUNT(AE48))</x:f>
        <x:v>54.5</x:v>
      </x:c>
      <x:c r="AM48" s="13" t="n">
        <x:f>(N48+I48+Y48+AI48+AG48)*15/COUNT(N48,I48,Y48,AI48,AG48)</x:f>
        <x:v>48</x:v>
      </x:c>
      <x:c r="AN48" s="13" t="n">
        <x:f>(Q48+I48+Y48+AI48+AG48)*15/COUNT(Q48,I48,Y48,AI48,AG48)</x:f>
        <x:v>42</x:v>
      </x:c>
      <x:c r="AO48" s="9" t="n">
        <x:f>IF(I48=1,1,0)+IF(Y48=1,1,0)+IF(AI48=1,1,0)+IF(AG48=1,1,0)</x:f>
        <x:v>0</x:v>
      </x:c>
      <x:c r="AP48" s="14" t="n">
        <x:f>(IF(M48="High",3,IF(M48="Medium",2,1))+IF(J48="High",3,IF(J48="Medium",2,1))+IF(Z48="High",3,IF(Z48="Medium",2,1))+IF(AF48="High",3,IF(AF48="Medium",2,1))+IF(AH48="High",3,IF(AH48="Medium",2,1))+IF(AJ48="High",3,IF(AJ48="Medium",2,1))+2)/7</x:f>
        <x:v>2.142857142857143</x:v>
      </x:c>
      <x:c r="AQ48" s="14" t="n">
        <x:f>(IF(P48="High",3,IF(P48="Medium",2,1))+IF(J48="High",3,IF(J48="Medium",2,1))+IF(Z48="High",3,IF(Z48="Medium",2,1))+IF(AF48="High",3,IF(AF48="Medium",2,1))+IF(AH48="High",3,IF(AH48="Medium",2,1))+IF(AJ48="High",3,IF(AJ48="Medium",2,1))+2)/7</x:f>
        <x:v>2</x:v>
      </x:c>
      <x:c r="AR48" s="9" t="n">
        <x:f>IF(N48="",1,0)+IF(I48="",1,0)+IF(Y48="",1,0)+IF(AI48="",1,0)+IF(AG48="",1,0)+IF(W48="",1,0)+IF(AE48="",1,0)</x:f>
        <x:v>0</x:v>
      </x:c>
      <x:c r="AS48" s="9" t="n">
        <x:f>IF(Q48="",1,0)+IF(I48="",1,0)+IF(Y48="",1,0)+IF(AI48="",1,0)+IF(AG48="",1,0)+IF(X48="",1,0)+IF(AE48="",1,0)</x:f>
        <x:v>0</x:v>
      </x:c>
      <x:c r="AT48" s="9" t="n">
        <x:v>48</x:v>
      </x:c>
      <x:c r="AU48" s="9" t="n">
        <x:v>60</x:v>
      </x:c>
      <x:c r="AV48" s="9" t="str">
        <x:v>Not proposed</x:v>
      </x:c>
      <x:c r="AW48" s="9" t="str"/>
    </x:row>
    <x:row r="49">
      <x:c r="A49" s="9" t="str">
        <x:v>Stafford</x:v>
      </x:c>
      <x:c r="B49" s="9" t="str">
        <x:v>England</x:v>
      </x:c>
      <x:c r="C49" s="9" t="str">
        <x:v>Stafford</x:v>
      </x:c>
      <x:c r="D49" s="12" t="n">
        <x:v>52.8058</x:v>
      </x:c>
      <x:c r="E49" s="12" t="n">
        <x:v>-2.116656</x:v>
      </x:c>
      <x:c r="F49" s="9" t="n">
        <x:v>1575</x:v>
      </x:c>
      <x:c r="G49" s="9" t="n">
        <x:v>693</x:v>
      </x:c>
      <x:c r="H49" s="9" t="str">
        <x:v>data.police.uk street-crime records within 1 mile of Postcodes.io place centroid</x:v>
      </x:c>
      <x:c r="I49" s="9" t="n">
        <x:v>5</x:v>
      </x:c>
      <x:c r="J49" s="9" t="str">
        <x:v>Medium</x:v>
      </x:c>
      <x:c r="K49" s="10" t="n">
        <x:v>125000</x:v>
      </x:c>
      <x:c r="L49" s="9" t="n">
        <x:v>203</x:v>
      </x:c>
      <x:c r="M49" s="9" t="str">
        <x:v>High</x:v>
      </x:c>
      <x:c r="N49" s="9" t="n">
        <x:f>IF(K49&lt;='Methodology'!$B$15,5,IF(K49&gt;='Methodology'!$B$16,1,3))</x:f>
        <x:v>3</x:v>
      </x:c>
      <x:c r="O49" s="10" t="n">
        <x:v>629</x:v>
      </x:c>
      <x:c r="P49" s="9" t="str">
        <x:v>Medium</x:v>
      </x:c>
      <x:c r="Q49" s="9" t="n">
        <x:f>IF(O49&lt;='Methodology'!$B$17,5,IF(O49&gt;='Methodology'!$B$18,1,3))</x:f>
        <x:v>3</x:v>
      </x:c>
      <x:c r="R49" s="9" t="n">
        <x:v>20</x:v>
      </x:c>
      <x:c r="S49" s="9" t="n">
        <x:v>20</x:v>
      </x:c>
      <x:c r="T49" s="9" t="str">
        <x:v>Unclear</x:v>
      </x:c>
      <x:c r="U49" s="9" t="n">
        <x:v>2</x:v>
      </x:c>
      <x:c r="V49" s="9" t="n">
        <x:v>2</x:v>
      </x:c>
      <x:c r="W49" s="13" t="n">
        <x:f>MAX(1,MIN(5,U49+IF(T49="Known",0.5,IF(T49="Likely",0,-0.5))))</x:f>
        <x:v>1.5</x:v>
      </x:c>
      <x:c r="X49" s="13" t="n">
        <x:f>MAX(1,MIN(5,V49+IF(T49="Known",0.5,IF(T49="Likely",0,-0.5))))</x:f>
        <x:v>1.5</x:v>
      </x:c>
      <x:c r="Y49" s="9" t="n">
        <x:v>3</x:v>
      </x:c>
      <x:c r="Z49" s="9" t="str">
        <x:v>Medium</x:v>
      </x:c>
      <x:c r="AA49" s="9" t="n">
        <x:v>75</x:v>
      </x:c>
      <x:c r="AB49" s="9" t="n">
        <x:v>0</x:v>
      </x:c>
      <x:c r="AC49" s="9" t="n">
        <x:v>35</x:v>
      </x:c>
      <x:c r="AD49" s="9" t="n">
        <x:v>0</x:v>
      </x:c>
      <x:c r="AE49" s="9" t="n">
        <x:v>5</x:v>
      </x:c>
      <x:c r="AF49" s="9" t="str">
        <x:v>Medium</x:v>
      </x:c>
      <x:c r="AG49" s="9" t="n">
        <x:v>4</x:v>
      </x:c>
      <x:c r="AH49" s="9" t="str">
        <x:v>Medium</x:v>
      </x:c>
      <x:c r="AI49" s="9" t="n">
        <x:v>4</x:v>
      </x:c>
      <x:c r="AJ49" s="9" t="str">
        <x:v>Medium</x:v>
      </x:c>
      <x:c r="AK49" s="13" t="n">
        <x:f>(N49*15+I49*15+Y49*15+AI49*15+AG49*15+W49*15+AE49*10)*20/(15*COUNT(N49,I49,Y49,AI49,AG49,W49)+10*COUNT(AE49))</x:f>
        <x:v>71.5</x:v>
      </x:c>
      <x:c r="AL49" s="13" t="n">
        <x:f>(Q49*15+I49*15+Y49*15+AI49*15+AG49*15+X49*15+AE49*10)*20/(15*COUNT(Q49,I49,Y49,AI49,AG49,X49)+10*COUNT(AE49))</x:f>
        <x:v>71.5</x:v>
      </x:c>
      <x:c r="AM49" s="13" t="n">
        <x:f>(N49+I49+Y49+AI49+AG49)*15/COUNT(N49,I49,Y49,AI49,AG49)</x:f>
        <x:v>57</x:v>
      </x:c>
      <x:c r="AN49" s="13" t="n">
        <x:f>(Q49+I49+Y49+AI49+AG49)*15/COUNT(Q49,I49,Y49,AI49,AG49)</x:f>
        <x:v>57</x:v>
      </x:c>
      <x:c r="AO49" s="9" t="n">
        <x:f>IF(I49=1,1,0)+IF(Y49=1,1,0)+IF(AI49=1,1,0)+IF(AG49=1,1,0)</x:f>
        <x:v>0</x:v>
      </x:c>
      <x:c r="AP49" s="14" t="n">
        <x:f>(IF(M49="High",3,IF(M49="Medium",2,1))+IF(J49="High",3,IF(J49="Medium",2,1))+IF(Z49="High",3,IF(Z49="Medium",2,1))+IF(AF49="High",3,IF(AF49="Medium",2,1))+IF(AH49="High",3,IF(AH49="Medium",2,1))+IF(AJ49="High",3,IF(AJ49="Medium",2,1))+2)/7</x:f>
        <x:v>2.142857142857143</x:v>
      </x:c>
      <x:c r="AQ49" s="14" t="n">
        <x:f>(IF(P49="High",3,IF(P49="Medium",2,1))+IF(J49="High",3,IF(J49="Medium",2,1))+IF(Z49="High",3,IF(Z49="Medium",2,1))+IF(AF49="High",3,IF(AF49="Medium",2,1))+IF(AH49="High",3,IF(AH49="Medium",2,1))+IF(AJ49="High",3,IF(AJ49="Medium",2,1))+2)/7</x:f>
        <x:v>2</x:v>
      </x:c>
      <x:c r="AR49" s="9" t="n">
        <x:f>IF(N49="",1,0)+IF(I49="",1,0)+IF(Y49="",1,0)+IF(AI49="",1,0)+IF(AG49="",1,0)+IF(W49="",1,0)+IF(AE49="",1,0)</x:f>
        <x:v>0</x:v>
      </x:c>
      <x:c r="AS49" s="9" t="n">
        <x:f>IF(Q49="",1,0)+IF(I49="",1,0)+IF(Y49="",1,0)+IF(AI49="",1,0)+IF(AG49="",1,0)+IF(X49="",1,0)+IF(AE49="",1,0)</x:f>
        <x:v>0</x:v>
      </x:c>
      <x:c r="AT49" s="9" t="n">
        <x:v>3</x:v>
      </x:c>
      <x:c r="AU49" s="9" t="n">
        <x:v>4</x:v>
      </x:c>
      <x:c r="AV49" s="9" t="str">
        <x:v>Proposed</x:v>
      </x:c>
      <x:c r="AW49" s="9" t="str">
        <x:v>Both</x:v>
      </x:c>
    </x:row>
    <x:row r="50">
      <x:c r="A50" s="9" t="str">
        <x:v>Stockport</x:v>
      </x:c>
      <x:c r="B50" s="9" t="str">
        <x:v>England</x:v>
      </x:c>
      <x:c r="C50" s="9" t="str">
        <x:v>Stockport</x:v>
      </x:c>
      <x:c r="D50" s="12" t="n">
        <x:v>53.408023</x:v>
      </x:c>
      <x:c r="E50" s="12" t="n">
        <x:v>-2.158961</x:v>
      </x:c>
      <x:c r="F50" s="9"/>
      <x:c r="G50" s="9"/>
      <x:c r="H50" s="9" t="str">
        <x:v>data.police.uk street-crime records within 1 mile of Postcodes.io place centroid</x:v>
      </x:c>
      <x:c r="I50" s="9"/>
      <x:c r="J50" s="9" t="str">
        <x:v>Low</x:v>
      </x:c>
      <x:c r="K50" s="10" t="n">
        <x:v>165000</x:v>
      </x:c>
      <x:c r="L50" s="9" t="n">
        <x:v>830</x:v>
      </x:c>
      <x:c r="M50" s="9" t="str">
        <x:v>High</x:v>
      </x:c>
      <x:c r="N50" s="9" t="n">
        <x:f>IF(K50&lt;='Methodology'!$B$15,5,IF(K50&gt;='Methodology'!$B$16,1,3))</x:f>
        <x:v>1</x:v>
      </x:c>
      <x:c r="O50" s="10" t="n">
        <x:v>807</x:v>
      </x:c>
      <x:c r="P50" s="9" t="str">
        <x:v>Medium</x:v>
      </x:c>
      <x:c r="Q50" s="9" t="n">
        <x:f>IF(O50&lt;='Methodology'!$B$17,5,IF(O50&gt;='Methodology'!$B$18,1,3))</x:f>
        <x:v>1</x:v>
      </x:c>
      <x:c r="R50" s="9" t="n">
        <x:v>41</x:v>
      </x:c>
      <x:c r="S50" s="9" t="n">
        <x:v>89</x:v>
      </x:c>
      <x:c r="T50" s="9" t="str">
        <x:v>Unclear</x:v>
      </x:c>
      <x:c r="U50" s="9" t="n">
        <x:v>3</x:v>
      </x:c>
      <x:c r="V50" s="9" t="n">
        <x:v>4</x:v>
      </x:c>
      <x:c r="W50" s="13" t="n">
        <x:f>MAX(1,MIN(5,U50+IF(T50="Known",0.5,IF(T50="Likely",0,-0.5))))</x:f>
        <x:v>2.5</x:v>
      </x:c>
      <x:c r="X50" s="13" t="n">
        <x:f>MAX(1,MIN(5,V50+IF(T50="Known",0.5,IF(T50="Likely",0,-0.5))))</x:f>
        <x:v>3.5</x:v>
      </x:c>
      <x:c r="Y50" s="9" t="n">
        <x:v>4</x:v>
      </x:c>
      <x:c r="Z50" s="9" t="str">
        <x:v>High</x:v>
      </x:c>
      <x:c r="AA50" s="9" t="n">
        <x:v>120</x:v>
      </x:c>
      <x:c r="AB50" s="9" t="n">
        <x:v>0</x:v>
      </x:c>
      <x:c r="AC50" s="9" t="n">
        <x:v>75</x:v>
      </x:c>
      <x:c r="AD50" s="9" t="n">
        <x:v>0</x:v>
      </x:c>
      <x:c r="AE50" s="9" t="n">
        <x:v>4</x:v>
      </x:c>
      <x:c r="AF50" s="9" t="str">
        <x:v>Medium</x:v>
      </x:c>
      <x:c r="AG50" s="9" t="n">
        <x:v>2</x:v>
      </x:c>
      <x:c r="AH50" s="9" t="str">
        <x:v>Medium</x:v>
      </x:c>
      <x:c r="AI50" s="9" t="n">
        <x:v>4</x:v>
      </x:c>
      <x:c r="AJ50" s="9" t="str">
        <x:v>Medium</x:v>
      </x:c>
      <x:c r="AK50" s="13" t="n">
        <x:f>(N50*15+I50*15+Y50*15+AI50*15+AG50*15+W50*15+AE50*10)*20/(15*COUNT(N50,I50,Y50,AI50,AG50,W50)+10*COUNT(AE50))</x:f>
        <x:v>57.05882352941177</x:v>
      </x:c>
      <x:c r="AL50" s="13" t="n">
        <x:f>(Q50*15+I50*15+Y50*15+AI50*15+AG50*15+X50*15+AE50*10)*20/(15*COUNT(Q50,I50,Y50,AI50,AG50,X50)+10*COUNT(AE50))</x:f>
        <x:v>60.588235294117645</x:v>
      </x:c>
      <x:c r="AM50" s="13" t="n">
        <x:f>(N50+I50+Y50+AI50+AG50)*15/COUNT(N50,I50,Y50,AI50,AG50)</x:f>
        <x:v>41.25</x:v>
      </x:c>
      <x:c r="AN50" s="13" t="n">
        <x:f>(Q50+I50+Y50+AI50+AG50)*15/COUNT(Q50,I50,Y50,AI50,AG50)</x:f>
        <x:v>41.25</x:v>
      </x:c>
      <x:c r="AO50" s="9" t="n">
        <x:f>IF(I50=1,1,0)+IF(Y50=1,1,0)+IF(AI50=1,1,0)+IF(AG50=1,1,0)</x:f>
        <x:v>0</x:v>
      </x:c>
      <x:c r="AP50" s="14" t="n">
        <x:f>(IF(M50="High",3,IF(M50="Medium",2,1))+IF(J50="High",3,IF(J50="Medium",2,1))+IF(Z50="High",3,IF(Z50="Medium",2,1))+IF(AF50="High",3,IF(AF50="Medium",2,1))+IF(AH50="High",3,IF(AH50="Medium",2,1))+IF(AJ50="High",3,IF(AJ50="Medium",2,1))+2)/7</x:f>
        <x:v>2.142857142857143</x:v>
      </x:c>
      <x:c r="AQ50" s="14" t="n">
        <x:f>(IF(P50="High",3,IF(P50="Medium",2,1))+IF(J50="High",3,IF(J50="Medium",2,1))+IF(Z50="High",3,IF(Z50="Medium",2,1))+IF(AF50="High",3,IF(AF50="Medium",2,1))+IF(AH50="High",3,IF(AH50="Medium",2,1))+IF(AJ50="High",3,IF(AJ50="Medium",2,1))+2)/7</x:f>
        <x:v>2</x:v>
      </x:c>
      <x:c r="AR50" s="9" t="n">
        <x:f>IF(N50="",1,0)+IF(I50="",1,0)+IF(Y50="",1,0)+IF(AI50="",1,0)+IF(AG50="",1,0)+IF(W50="",1,0)+IF(AE50="",1,0)</x:f>
        <x:v>1</x:v>
      </x:c>
      <x:c r="AS50" s="9" t="n">
        <x:f>IF(Q50="",1,0)+IF(I50="",1,0)+IF(Y50="",1,0)+IF(AI50="",1,0)+IF(AG50="",1,0)+IF(X50="",1,0)+IF(AE50="",1,0)</x:f>
        <x:v>1</x:v>
      </x:c>
      <x:c r="AT50" s="9" t="n">
        <x:v>54</x:v>
      </x:c>
      <x:c r="AU50" s="9" t="n">
        <x:v>45</x:v>
      </x:c>
      <x:c r="AV50" s="9" t="str">
        <x:v>Not proposed</x:v>
      </x:c>
      <x:c r="AW50" s="9" t="str"/>
    </x:row>
    <x:row r="51">
      <x:c r="A51" s="9" t="str">
        <x:v>Stockton-on-Tees</x:v>
      </x:c>
      <x:c r="B51" s="9" t="str">
        <x:v>England</x:v>
      </x:c>
      <x:c r="C51" s="9" t="str">
        <x:v>Stockton-on-Tees</x:v>
      </x:c>
      <x:c r="D51" s="12" t="n">
        <x:v>54.563971</x:v>
      </x:c>
      <x:c r="E51" s="12" t="n">
        <x:v>-1.312668</x:v>
      </x:c>
      <x:c r="F51" s="9" t="n">
        <x:v>2853</x:v>
      </x:c>
      <x:c r="G51" s="9" t="n">
        <x:v>1260</x:v>
      </x:c>
      <x:c r="H51" s="9" t="str">
        <x:v>data.police.uk street-crime records within 1 mile of Postcodes.io place centroid</x:v>
      </x:c>
      <x:c r="I51" s="9" t="n">
        <x:v>3</x:v>
      </x:c>
      <x:c r="J51" s="9" t="str">
        <x:v>Medium</x:v>
      </x:c>
      <x:c r="K51" s="10" t="n">
        <x:v>78000</x:v>
      </x:c>
      <x:c r="L51" s="9" t="n">
        <x:v>188</x:v>
      </x:c>
      <x:c r="M51" s="9" t="str">
        <x:v>High</x:v>
      </x:c>
      <x:c r="N51" s="9" t="n">
        <x:f>IF(K51&lt;='Methodology'!$B$15,5,IF(K51&gt;='Methodology'!$B$16,1,3))</x:f>
        <x:v>5</x:v>
      </x:c>
      <x:c r="O51" s="10" t="n">
        <x:v>537</x:v>
      </x:c>
      <x:c r="P51" s="9" t="str">
        <x:v>Medium</x:v>
      </x:c>
      <x:c r="Q51" s="9" t="n">
        <x:f>IF(O51&lt;='Methodology'!$B$17,5,IF(O51&gt;='Methodology'!$B$18,1,3))</x:f>
        <x:v>5</x:v>
      </x:c>
      <x:c r="R51" s="9" t="n">
        <x:v>14</x:v>
      </x:c>
      <x:c r="S51" s="9" t="n">
        <x:v>36</x:v>
      </x:c>
      <x:c r="T51" s="9" t="str">
        <x:v>Unclear</x:v>
      </x:c>
      <x:c r="U51" s="9" t="n">
        <x:v>2</x:v>
      </x:c>
      <x:c r="V51" s="9" t="n">
        <x:v>3</x:v>
      </x:c>
      <x:c r="W51" s="13" t="n">
        <x:f>MAX(1,MIN(5,U51+IF(T51="Known",0.5,IF(T51="Likely",0,-0.5))))</x:f>
        <x:v>1.5</x:v>
      </x:c>
      <x:c r="X51" s="13" t="n">
        <x:f>MAX(1,MIN(5,V51+IF(T51="Known",0.5,IF(T51="Likely",0,-0.5))))</x:f>
        <x:v>2.5</x:v>
      </x:c>
      <x:c r="Y51" s="9" t="n">
        <x:v>3</x:v>
      </x:c>
      <x:c r="Z51" s="9" t="str">
        <x:v>Medium</x:v>
      </x:c>
      <x:c r="AA51" s="9" t="n">
        <x:v>185</x:v>
      </x:c>
      <x:c r="AB51" s="9" t="n">
        <x:v>1</x:v>
      </x:c>
      <x:c r="AC51" s="9" t="n">
        <x:v>180</x:v>
      </x:c>
      <x:c r="AD51" s="9" t="n">
        <x:v>1</x:v>
      </x:c>
      <x:c r="AE51" s="9" t="n">
        <x:v>3</x:v>
      </x:c>
      <x:c r="AF51" s="9" t="str">
        <x:v>Low</x:v>
      </x:c>
      <x:c r="AG51" s="9" t="n">
        <x:v>2</x:v>
      </x:c>
      <x:c r="AH51" s="9" t="str">
        <x:v>Medium</x:v>
      </x:c>
      <x:c r="AI51" s="9" t="n">
        <x:v>3</x:v>
      </x:c>
      <x:c r="AJ51" s="9" t="str">
        <x:v>Low</x:v>
      </x:c>
      <x:c r="AK51" s="13" t="n">
        <x:f>(N51*15+I51*15+Y51*15+AI51*15+AG51*15+W51*15+AE51*10)*20/(15*COUNT(N51,I51,Y51,AI51,AG51,W51)+10*COUNT(AE51))</x:f>
        <x:v>58.5</x:v>
      </x:c>
      <x:c r="AL51" s="13" t="n">
        <x:f>(Q51*15+I51*15+Y51*15+AI51*15+AG51*15+X51*15+AE51*10)*20/(15*COUNT(Q51,I51,Y51,AI51,AG51,X51)+10*COUNT(AE51))</x:f>
        <x:v>61.5</x:v>
      </x:c>
      <x:c r="AM51" s="13" t="n">
        <x:f>(N51+I51+Y51+AI51+AG51)*15/COUNT(N51,I51,Y51,AI51,AG51)</x:f>
        <x:v>48</x:v>
      </x:c>
      <x:c r="AN51" s="13" t="n">
        <x:f>(Q51+I51+Y51+AI51+AG51)*15/COUNT(Q51,I51,Y51,AI51,AG51)</x:f>
        <x:v>48</x:v>
      </x:c>
      <x:c r="AO51" s="9" t="n">
        <x:f>IF(I51=1,1,0)+IF(Y51=1,1,0)+IF(AI51=1,1,0)+IF(AG51=1,1,0)</x:f>
        <x:v>0</x:v>
      </x:c>
      <x:c r="AP51" s="14" t="n">
        <x:f>(IF(M51="High",3,IF(M51="Medium",2,1))+IF(J51="High",3,IF(J51="Medium",2,1))+IF(Z51="High",3,IF(Z51="Medium",2,1))+IF(AF51="High",3,IF(AF51="Medium",2,1))+IF(AH51="High",3,IF(AH51="Medium",2,1))+IF(AJ51="High",3,IF(AJ51="Medium",2,1))+2)/7</x:f>
        <x:v>1.8571428571428572</x:v>
      </x:c>
      <x:c r="AQ51" s="14" t="n">
        <x:f>(IF(P51="High",3,IF(P51="Medium",2,1))+IF(J51="High",3,IF(J51="Medium",2,1))+IF(Z51="High",3,IF(Z51="Medium",2,1))+IF(AF51="High",3,IF(AF51="Medium",2,1))+IF(AH51="High",3,IF(AH51="Medium",2,1))+IF(AJ51="High",3,IF(AJ51="Medium",2,1))+2)/7</x:f>
        <x:v>1.7142857142857142</x:v>
      </x:c>
      <x:c r="AR51" s="9" t="n">
        <x:f>IF(N51="",1,0)+IF(I51="",1,0)+IF(Y51="",1,0)+IF(AI51="",1,0)+IF(AG51="",1,0)+IF(W51="",1,0)+IF(AE51="",1,0)</x:f>
        <x:v>0</x:v>
      </x:c>
      <x:c r="AS51" s="9" t="n">
        <x:f>IF(Q51="",1,0)+IF(I51="",1,0)+IF(Y51="",1,0)+IF(AI51="",1,0)+IF(AG51="",1,0)+IF(X51="",1,0)+IF(AE51="",1,0)</x:f>
        <x:v>0</x:v>
      </x:c>
      <x:c r="AT51" s="9" t="n">
        <x:v>50</x:v>
      </x:c>
      <x:c r="AU51" s="9" t="n">
        <x:v>42</x:v>
      </x:c>
      <x:c r="AV51" s="9" t="str">
        <x:v>Not proposed</x:v>
      </x:c>
      <x:c r="AW51" s="9" t="str"/>
    </x:row>
    <x:row r="52">
      <x:c r="A52" s="9" t="str">
        <x:v>Stoke-on-Trent</x:v>
      </x:c>
      <x:c r="B52" s="9" t="str">
        <x:v>England</x:v>
      </x:c>
      <x:c r="C52" s="9" t="str">
        <x:v>Stoke-on-Trent</x:v>
      </x:c>
      <x:c r="D52" s="12" t="n">
        <x:v>53.022184</x:v>
      </x:c>
      <x:c r="E52" s="12" t="n">
        <x:v>-2.173369</x:v>
      </x:c>
      <x:c r="F52" s="9" t="n">
        <x:v>2370</x:v>
      </x:c>
      <x:c r="G52" s="9" t="n">
        <x:v>1510</x:v>
      </x:c>
      <x:c r="H52" s="9" t="str">
        <x:v>data.police.uk street-crime records within 1 mile of Postcodes.io place centroid</x:v>
      </x:c>
      <x:c r="I52" s="9" t="n">
        <x:v>3</x:v>
      </x:c>
      <x:c r="J52" s="9" t="str">
        <x:v>Medium</x:v>
      </x:c>
      <x:c r="K52" s="10" t="n">
        <x:v>85000</x:v>
      </x:c>
      <x:c r="L52" s="9" t="n">
        <x:v>346</x:v>
      </x:c>
      <x:c r="M52" s="9" t="str">
        <x:v>High</x:v>
      </x:c>
      <x:c r="N52" s="9" t="n">
        <x:f>IF(K52&lt;='Methodology'!$B$15,5,IF(K52&gt;='Methodology'!$B$16,1,3))</x:f>
        <x:v>5</x:v>
      </x:c>
      <x:c r="O52" s="10" t="n">
        <x:v>515</x:v>
      </x:c>
      <x:c r="P52" s="9" t="str">
        <x:v>Medium</x:v>
      </x:c>
      <x:c r="Q52" s="9" t="n">
        <x:f>IF(O52&lt;='Methodology'!$B$17,5,IF(O52&gt;='Methodology'!$B$18,1,3))</x:f>
        <x:v>5</x:v>
      </x:c>
      <x:c r="R52" s="9" t="n">
        <x:v>26</x:v>
      </x:c>
      <x:c r="S52" s="9" t="n">
        <x:v>53</x:v>
      </x:c>
      <x:c r="T52" s="9" t="str">
        <x:v>Unclear</x:v>
      </x:c>
      <x:c r="U52" s="9" t="n">
        <x:v>3</x:v>
      </x:c>
      <x:c r="V52" s="9" t="n">
        <x:v>3</x:v>
      </x:c>
      <x:c r="W52" s="13" t="n">
        <x:f>MAX(1,MIN(5,U52+IF(T52="Known",0.5,IF(T52="Likely",0,-0.5))))</x:f>
        <x:v>2.5</x:v>
      </x:c>
      <x:c r="X52" s="13" t="n">
        <x:f>MAX(1,MIN(5,V52+IF(T52="Known",0.5,IF(T52="Likely",0,-0.5))))</x:f>
        <x:v>2.5</x:v>
      </x:c>
      <x:c r="Y52" s="9" t="n">
        <x:v>4</x:v>
      </x:c>
      <x:c r="Z52" s="9" t="str">
        <x:v>Medium</x:v>
      </x:c>
      <x:c r="AA52" s="9" t="n">
        <x:v>85</x:v>
      </x:c>
      <x:c r="AB52" s="9" t="n">
        <x:v>0</x:v>
      </x:c>
      <x:c r="AC52" s="9" t="n">
        <x:v>50</x:v>
      </x:c>
      <x:c r="AD52" s="9" t="n">
        <x:v>0</x:v>
      </x:c>
      <x:c r="AE52" s="9" t="n">
        <x:v>5</x:v>
      </x:c>
      <x:c r="AF52" s="9" t="str">
        <x:v>Medium</x:v>
      </x:c>
      <x:c r="AG52" s="9" t="n">
        <x:v>2</x:v>
      </x:c>
      <x:c r="AH52" s="9" t="str">
        <x:v>Medium</x:v>
      </x:c>
      <x:c r="AI52" s="9" t="n">
        <x:v>2</x:v>
      </x:c>
      <x:c r="AJ52" s="9" t="str">
        <x:v>Low</x:v>
      </x:c>
      <x:c r="AK52" s="13" t="n">
        <x:f>(N52*15+I52*15+Y52*15+AI52*15+AG52*15+W52*15+AE52*10)*20/(15*COUNT(N52,I52,Y52,AI52,AG52,W52)+10*COUNT(AE52))</x:f>
        <x:v>65.5</x:v>
      </x:c>
      <x:c r="AL52" s="13" t="n">
        <x:f>(Q52*15+I52*15+Y52*15+AI52*15+AG52*15+X52*15+AE52*10)*20/(15*COUNT(Q52,I52,Y52,AI52,AG52,X52)+10*COUNT(AE52))</x:f>
        <x:v>65.5</x:v>
      </x:c>
      <x:c r="AM52" s="13" t="n">
        <x:f>(N52+I52+Y52+AI52+AG52)*15/COUNT(N52,I52,Y52,AI52,AG52)</x:f>
        <x:v>48</x:v>
      </x:c>
      <x:c r="AN52" s="13" t="n">
        <x:f>(Q52+I52+Y52+AI52+AG52)*15/COUNT(Q52,I52,Y52,AI52,AG52)</x:f>
        <x:v>48</x:v>
      </x:c>
      <x:c r="AO52" s="9" t="n">
        <x:f>IF(I52=1,1,0)+IF(Y52=1,1,0)+IF(AI52=1,1,0)+IF(AG52=1,1,0)</x:f>
        <x:v>0</x:v>
      </x:c>
      <x:c r="AP52" s="14" t="n">
        <x:f>(IF(M52="High",3,IF(M52="Medium",2,1))+IF(J52="High",3,IF(J52="Medium",2,1))+IF(Z52="High",3,IF(Z52="Medium",2,1))+IF(AF52="High",3,IF(AF52="Medium",2,1))+IF(AH52="High",3,IF(AH52="Medium",2,1))+IF(AJ52="High",3,IF(AJ52="Medium",2,1))+2)/7</x:f>
        <x:v>2</x:v>
      </x:c>
      <x:c r="AQ52" s="14" t="n">
        <x:f>(IF(P52="High",3,IF(P52="Medium",2,1))+IF(J52="High",3,IF(J52="Medium",2,1))+IF(Z52="High",3,IF(Z52="Medium",2,1))+IF(AF52="High",3,IF(AF52="Medium",2,1))+IF(AH52="High",3,IF(AH52="Medium",2,1))+IF(AJ52="High",3,IF(AJ52="Medium",2,1))+2)/7</x:f>
        <x:v>1.8571428571428572</x:v>
      </x:c>
      <x:c r="AR52" s="9" t="n">
        <x:f>IF(N52="",1,0)+IF(I52="",1,0)+IF(Y52="",1,0)+IF(AI52="",1,0)+IF(AG52="",1,0)+IF(W52="",1,0)+IF(AE52="",1,0)</x:f>
        <x:v>0</x:v>
      </x:c>
      <x:c r="AS52" s="9" t="n">
        <x:f>IF(Q52="",1,0)+IF(I52="",1,0)+IF(Y52="",1,0)+IF(AI52="",1,0)+IF(AG52="",1,0)+IF(X52="",1,0)+IF(AE52="",1,0)</x:f>
        <x:v>0</x:v>
      </x:c>
      <x:c r="AT52" s="9" t="n">
        <x:v>19</x:v>
      </x:c>
      <x:c r="AU52" s="9" t="n">
        <x:v>24</x:v>
      </x:c>
      <x:c r="AV52" s="9" t="str">
        <x:v>Not proposed</x:v>
      </x:c>
      <x:c r="AW52" s="9" t="str"/>
    </x:row>
    <x:row r="53">
      <x:c r="A53" s="9" t="str">
        <x:v>Sunderland</x:v>
      </x:c>
      <x:c r="B53" s="9" t="str">
        <x:v>England</x:v>
      </x:c>
      <x:c r="C53" s="9" t="str">
        <x:v>Sunderland</x:v>
      </x:c>
      <x:c r="D53" s="12" t="n">
        <x:v>54.902165</x:v>
      </x:c>
      <x:c r="E53" s="12" t="n">
        <x:v>-1.383803</x:v>
      </x:c>
      <x:c r="F53" s="9" t="n">
        <x:v>2043</x:v>
      </x:c>
      <x:c r="G53" s="9" t="n">
        <x:v>1312</x:v>
      </x:c>
      <x:c r="H53" s="9" t="str">
        <x:v>data.police.uk street-crime records within 1 mile of Postcodes.io place centroid</x:v>
      </x:c>
      <x:c r="I53" s="9" t="n">
        <x:v>3</x:v>
      </x:c>
      <x:c r="J53" s="9" t="str">
        <x:v>Medium</x:v>
      </x:c>
      <x:c r="K53" s="10" t="n">
        <x:v>79000</x:v>
      </x:c>
      <x:c r="L53" s="9" t="n">
        <x:v>363</x:v>
      </x:c>
      <x:c r="M53" s="9" t="str">
        <x:v>High</x:v>
      </x:c>
      <x:c r="N53" s="9" t="n">
        <x:f>IF(K53&lt;='Methodology'!$B$15,5,IF(K53&gt;='Methodology'!$B$16,1,3))</x:f>
        <x:v>5</x:v>
      </x:c>
      <x:c r="O53" s="10" t="n">
        <x:v>521</x:v>
      </x:c>
      <x:c r="P53" s="9" t="str">
        <x:v>Medium</x:v>
      </x:c>
      <x:c r="Q53" s="9" t="n">
        <x:f>IF(O53&lt;='Methodology'!$B$17,5,IF(O53&gt;='Methodology'!$B$18,1,3))</x:f>
        <x:v>5</x:v>
      </x:c>
      <x:c r="R53" s="9" t="n">
        <x:v>49</x:v>
      </x:c>
      <x:c r="S53" s="9" t="n">
        <x:v>56</x:v>
      </x:c>
      <x:c r="T53" s="9" t="str">
        <x:v>Unclear</x:v>
      </x:c>
      <x:c r="U53" s="9" t="n">
        <x:v>3</x:v>
      </x:c>
      <x:c r="V53" s="9" t="n">
        <x:v>3</x:v>
      </x:c>
      <x:c r="W53" s="13" t="n">
        <x:f>MAX(1,MIN(5,U53+IF(T53="Known",0.5,IF(T53="Likely",0,-0.5))))</x:f>
        <x:v>2.5</x:v>
      </x:c>
      <x:c r="X53" s="13" t="n">
        <x:f>MAX(1,MIN(5,V53+IF(T53="Known",0.5,IF(T53="Likely",0,-0.5))))</x:f>
        <x:v>2.5</x:v>
      </x:c>
      <x:c r="Y53" s="9" t="n">
        <x:v>4</x:v>
      </x:c>
      <x:c r="Z53" s="9" t="str">
        <x:v>High</x:v>
      </x:c>
      <x:c r="AA53" s="9" t="n">
        <x:v>195</x:v>
      </x:c>
      <x:c r="AB53" s="9" t="n">
        <x:v>0</x:v>
      </x:c>
      <x:c r="AC53" s="9" t="n">
        <x:v>205</x:v>
      </x:c>
      <x:c r="AD53" s="9" t="n">
        <x:v>1</x:v>
      </x:c>
      <x:c r="AE53" s="9" t="n">
        <x:v>2</x:v>
      </x:c>
      <x:c r="AF53" s="9" t="str">
        <x:v>Low</x:v>
      </x:c>
      <x:c r="AG53" s="9" t="n">
        <x:v>2</x:v>
      </x:c>
      <x:c r="AH53" s="9" t="str">
        <x:v>Medium</x:v>
      </x:c>
      <x:c r="AI53" s="9" t="n">
        <x:v>3</x:v>
      </x:c>
      <x:c r="AJ53" s="9" t="str">
        <x:v>Low</x:v>
      </x:c>
      <x:c r="AK53" s="13" t="n">
        <x:f>(N53*15+I53*15+Y53*15+AI53*15+AG53*15+W53*15+AE53*10)*20/(15*COUNT(N53,I53,Y53,AI53,AG53,W53)+10*COUNT(AE53))</x:f>
        <x:v>62.5</x:v>
      </x:c>
      <x:c r="AL53" s="13" t="n">
        <x:f>(Q53*15+I53*15+Y53*15+AI53*15+AG53*15+X53*15+AE53*10)*20/(15*COUNT(Q53,I53,Y53,AI53,AG53,X53)+10*COUNT(AE53))</x:f>
        <x:v>62.5</x:v>
      </x:c>
      <x:c r="AM53" s="13" t="n">
        <x:f>(N53+I53+Y53+AI53+AG53)*15/COUNT(N53,I53,Y53,AI53,AG53)</x:f>
        <x:v>51</x:v>
      </x:c>
      <x:c r="AN53" s="13" t="n">
        <x:f>(Q53+I53+Y53+AI53+AG53)*15/COUNT(Q53,I53,Y53,AI53,AG53)</x:f>
        <x:v>51</x:v>
      </x:c>
      <x:c r="AO53" s="9" t="n">
        <x:f>IF(I53=1,1,0)+IF(Y53=1,1,0)+IF(AI53=1,1,0)+IF(AG53=1,1,0)</x:f>
        <x:v>0</x:v>
      </x:c>
      <x:c r="AP53" s="14" t="n">
        <x:f>(IF(M53="High",3,IF(M53="Medium",2,1))+IF(J53="High",3,IF(J53="Medium",2,1))+IF(Z53="High",3,IF(Z53="Medium",2,1))+IF(AF53="High",3,IF(AF53="Medium",2,1))+IF(AH53="High",3,IF(AH53="Medium",2,1))+IF(AJ53="High",3,IF(AJ53="Medium",2,1))+2)/7</x:f>
        <x:v>2</x:v>
      </x:c>
      <x:c r="AQ53" s="14" t="n">
        <x:f>(IF(P53="High",3,IF(P53="Medium",2,1))+IF(J53="High",3,IF(J53="Medium",2,1))+IF(Z53="High",3,IF(Z53="Medium",2,1))+IF(AF53="High",3,IF(AF53="Medium",2,1))+IF(AH53="High",3,IF(AH53="Medium",2,1))+IF(AJ53="High",3,IF(AJ53="Medium",2,1))+2)/7</x:f>
        <x:v>1.8571428571428572</x:v>
      </x:c>
      <x:c r="AR53" s="9" t="n">
        <x:f>IF(N53="",1,0)+IF(I53="",1,0)+IF(Y53="",1,0)+IF(AI53="",1,0)+IF(AG53="",1,0)+IF(W53="",1,0)+IF(AE53="",1,0)</x:f>
        <x:v>0</x:v>
      </x:c>
      <x:c r="AS53" s="9" t="n">
        <x:f>IF(Q53="",1,0)+IF(I53="",1,0)+IF(Y53="",1,0)+IF(AI53="",1,0)+IF(AG53="",1,0)+IF(X53="",1,0)+IF(AE53="",1,0)</x:f>
        <x:v>0</x:v>
      </x:c>
      <x:c r="AT53" s="9" t="n">
        <x:v>33</x:v>
      </x:c>
      <x:c r="AU53" s="9" t="n">
        <x:v>37</x:v>
      </x:c>
      <x:c r="AV53" s="9" t="str">
        <x:v>Not proposed</x:v>
      </x:c>
      <x:c r="AW53" s="9" t="str"/>
    </x:row>
    <x:row r="54">
      <x:c r="A54" s="9" t="str">
        <x:v>Swansea</x:v>
      </x:c>
      <x:c r="B54" s="9" t="str">
        <x:v>Wales</x:v>
      </x:c>
      <x:c r="C54" s="9" t="str">
        <x:v>Swansea</x:v>
      </x:c>
      <x:c r="D54" s="12" t="n">
        <x:v>51.62011</x:v>
      </x:c>
      <x:c r="E54" s="12" t="n">
        <x:v>-3.941418</x:v>
      </x:c>
      <x:c r="F54" s="9" t="n">
        <x:v>2514</x:v>
      </x:c>
      <x:c r="G54" s="9" t="n">
        <x:v>880</x:v>
      </x:c>
      <x:c r="H54" s="9" t="str">
        <x:v>data.police.uk street-crime records within 1 mile of Postcodes.io place centroid</x:v>
      </x:c>
      <x:c r="I54" s="9" t="n">
        <x:v>3</x:v>
      </x:c>
      <x:c r="J54" s="9" t="str">
        <x:v>Medium</x:v>
      </x:c>
      <x:c r="K54" s="10" t="n">
        <x:v>130000</x:v>
      </x:c>
      <x:c r="L54" s="9" t="n">
        <x:v>455</x:v>
      </x:c>
      <x:c r="M54" s="9" t="str">
        <x:v>High</x:v>
      </x:c>
      <x:c r="N54" s="9" t="n">
        <x:f>IF(K54&lt;='Methodology'!$B$15,5,IF(K54&gt;='Methodology'!$B$16,1,3))</x:f>
        <x:v>3</x:v>
      </x:c>
      <x:c r="O54" s="10" t="n">
        <x:v>684</x:v>
      </x:c>
      <x:c r="P54" s="9" t="str">
        <x:v>Medium</x:v>
      </x:c>
      <x:c r="Q54" s="9" t="n">
        <x:f>IF(O54&lt;='Methodology'!$B$17,5,IF(O54&gt;='Methodology'!$B$18,1,3))</x:f>
        <x:v>3</x:v>
      </x:c>
      <x:c r="R54" s="9" t="n">
        <x:v>25</x:v>
      </x:c>
      <x:c r="S54" s="9" t="n">
        <x:v>16</x:v>
      </x:c>
      <x:c r="T54" s="9" t="str">
        <x:v>Unclear</x:v>
      </x:c>
      <x:c r="U54" s="9" t="n">
        <x:v>3</x:v>
      </x:c>
      <x:c r="V54" s="9" t="n">
        <x:v>2</x:v>
      </x:c>
      <x:c r="W54" s="13" t="n">
        <x:f>MAX(1,MIN(5,U54+IF(T54="Known",0.5,IF(T54="Likely",0,-0.5))))</x:f>
        <x:v>2.5</x:v>
      </x:c>
      <x:c r="X54" s="13" t="n">
        <x:f>MAX(1,MIN(5,V54+IF(T54="Known",0.5,IF(T54="Likely",0,-0.5))))</x:f>
        <x:v>1.5</x:v>
      </x:c>
      <x:c r="Y54" s="9" t="n">
        <x:v>4</x:v>
      </x:c>
      <x:c r="Z54" s="9" t="str">
        <x:v>High</x:v>
      </x:c>
      <x:c r="AA54" s="9" t="n">
        <x:v>170</x:v>
      </x:c>
      <x:c r="AB54" s="9" t="n">
        <x:v>0</x:v>
      </x:c>
      <x:c r="AC54" s="9" t="n">
        <x:v>185</x:v>
      </x:c>
      <x:c r="AD54" s="9" t="n">
        <x:v>1</x:v>
      </x:c>
      <x:c r="AE54" s="9" t="n">
        <x:v>3</x:v>
      </x:c>
      <x:c r="AF54" s="9" t="str">
        <x:v>Medium</x:v>
      </x:c>
      <x:c r="AG54" s="9" t="n">
        <x:v>3</x:v>
      </x:c>
      <x:c r="AH54" s="9" t="str">
        <x:v>Medium</x:v>
      </x:c>
      <x:c r="AI54" s="9" t="n">
        <x:v>4</x:v>
      </x:c>
      <x:c r="AJ54" s="9" t="str">
        <x:v>Medium</x:v>
      </x:c>
      <x:c r="AK54" s="13" t="n">
        <x:f>(N54*15+I54*15+Y54*15+AI54*15+AG54*15+W54*15+AE54*10)*20/(15*COUNT(N54,I54,Y54,AI54,AG54,W54)+10*COUNT(AE54))</x:f>
        <x:v>64.5</x:v>
      </x:c>
      <x:c r="AL54" s="13" t="n">
        <x:f>(Q54*15+I54*15+Y54*15+AI54*15+AG54*15+X54*15+AE54*10)*20/(15*COUNT(Q54,I54,Y54,AI54,AG54,X54)+10*COUNT(AE54))</x:f>
        <x:v>61.5</x:v>
      </x:c>
      <x:c r="AM54" s="13" t="n">
        <x:f>(N54+I54+Y54+AI54+AG54)*15/COUNT(N54,I54,Y54,AI54,AG54)</x:f>
        <x:v>51</x:v>
      </x:c>
      <x:c r="AN54" s="13" t="n">
        <x:f>(Q54+I54+Y54+AI54+AG54)*15/COUNT(Q54,I54,Y54,AI54,AG54)</x:f>
        <x:v>51</x:v>
      </x:c>
      <x:c r="AO54" s="9" t="n">
        <x:f>IF(I54=1,1,0)+IF(Y54=1,1,0)+IF(AI54=1,1,0)+IF(AG54=1,1,0)</x:f>
        <x:v>0</x:v>
      </x:c>
      <x:c r="AP54" s="14" t="n">
        <x:f>(IF(M54="High",3,IF(M54="Medium",2,1))+IF(J54="High",3,IF(J54="Medium",2,1))+IF(Z54="High",3,IF(Z54="Medium",2,1))+IF(AF54="High",3,IF(AF54="Medium",2,1))+IF(AH54="High",3,IF(AH54="Medium",2,1))+IF(AJ54="High",3,IF(AJ54="Medium",2,1))+2)/7</x:f>
        <x:v>2.2857142857142856</x:v>
      </x:c>
      <x:c r="AQ54" s="14" t="n">
        <x:f>(IF(P54="High",3,IF(P54="Medium",2,1))+IF(J54="High",3,IF(J54="Medium",2,1))+IF(Z54="High",3,IF(Z54="Medium",2,1))+IF(AF54="High",3,IF(AF54="Medium",2,1))+IF(AH54="High",3,IF(AH54="Medium",2,1))+IF(AJ54="High",3,IF(AJ54="Medium",2,1))+2)/7</x:f>
        <x:v>2.142857142857143</x:v>
      </x:c>
      <x:c r="AR54" s="9" t="n">
        <x:f>IF(N54="",1,0)+IF(I54="",1,0)+IF(Y54="",1,0)+IF(AI54="",1,0)+IF(AG54="",1,0)+IF(W54="",1,0)+IF(AE54="",1,0)</x:f>
        <x:v>0</x:v>
      </x:c>
      <x:c r="AS54" s="9" t="n">
        <x:f>IF(Q54="",1,0)+IF(I54="",1,0)+IF(Y54="",1,0)+IF(AI54="",1,0)+IF(AG54="",1,0)+IF(X54="",1,0)+IF(AE54="",1,0)</x:f>
        <x:v>0</x:v>
      </x:c>
      <x:c r="AT54" s="9" t="n">
        <x:v>23</x:v>
      </x:c>
      <x:c r="AU54" s="9" t="n">
        <x:v>41</x:v>
      </x:c>
      <x:c r="AV54" s="9" t="str">
        <x:v>Not proposed</x:v>
      </x:c>
      <x:c r="AW54" s="9" t="str"/>
    </x:row>
    <x:row r="55">
      <x:c r="A55" s="9" t="str">
        <x:v>Swindon</x:v>
      </x:c>
      <x:c r="B55" s="9" t="str">
        <x:v>England</x:v>
      </x:c>
      <x:c r="C55" s="9" t="str">
        <x:v>Swindon</x:v>
      </x:c>
      <x:c r="D55" s="12" t="n">
        <x:v>51.561532</x:v>
      </x:c>
      <x:c r="E55" s="12" t="n">
        <x:v>-1.785458</x:v>
      </x:c>
      <x:c r="F55" s="9" t="n">
        <x:v>2502</x:v>
      </x:c>
      <x:c r="G55" s="9" t="n">
        <x:v>1707</x:v>
      </x:c>
      <x:c r="H55" s="9" t="str">
        <x:v>data.police.uk street-crime records within 1 mile of Postcodes.io place centroid</x:v>
      </x:c>
      <x:c r="I55" s="9" t="n">
        <x:v>2</x:v>
      </x:c>
      <x:c r="J55" s="9" t="str">
        <x:v>Medium</x:v>
      </x:c>
      <x:c r="K55" s="10" t="n">
        <x:v>148500</x:v>
      </x:c>
      <x:c r="L55" s="9" t="n">
        <x:v>906</x:v>
      </x:c>
      <x:c r="M55" s="9" t="str">
        <x:v>High</x:v>
      </x:c>
      <x:c r="N55" s="9" t="n">
        <x:f>IF(K55&lt;='Methodology'!$B$15,5,IF(K55&gt;='Methodology'!$B$16,1,3))</x:f>
        <x:v>1</x:v>
      </x:c>
      <x:c r="O55" s="10" t="n">
        <x:v>816</x:v>
      </x:c>
      <x:c r="P55" s="9" t="str">
        <x:v>Medium</x:v>
      </x:c>
      <x:c r="Q55" s="9" t="n">
        <x:f>IF(O55&lt;='Methodology'!$B$17,5,IF(O55&gt;='Methodology'!$B$18,1,3))</x:f>
        <x:v>1</x:v>
      </x:c>
      <x:c r="R55" s="9" t="n">
        <x:v>87</x:v>
      </x:c>
      <x:c r="S55" s="9" t="n">
        <x:v>121</x:v>
      </x:c>
      <x:c r="T55" s="9" t="str">
        <x:v>Unclear</x:v>
      </x:c>
      <x:c r="U55" s="9" t="n">
        <x:v>4</x:v>
      </x:c>
      <x:c r="V55" s="9" t="n">
        <x:v>4</x:v>
      </x:c>
      <x:c r="W55" s="13" t="n">
        <x:f>MAX(1,MIN(5,U55+IF(T55="Known",0.5,IF(T55="Likely",0,-0.5))))</x:f>
        <x:v>3.5</x:v>
      </x:c>
      <x:c r="X55" s="13" t="n">
        <x:f>MAX(1,MIN(5,V55+IF(T55="Known",0.5,IF(T55="Likely",0,-0.5))))</x:f>
        <x:v>3.5</x:v>
      </x:c>
      <x:c r="Y55" s="9" t="n">
        <x:v>4</x:v>
      </x:c>
      <x:c r="Z55" s="9" t="str">
        <x:v>Medium</x:v>
      </x:c>
      <x:c r="AA55" s="9" t="n">
        <x:v>55</x:v>
      </x:c>
      <x:c r="AB55" s="9" t="n">
        <x:v>0</x:v>
      </x:c>
      <x:c r="AC55" s="9" t="n">
        <x:v>95</x:v>
      </x:c>
      <x:c r="AD55" s="9" t="n">
        <x:v>1</x:v>
      </x:c>
      <x:c r="AE55" s="9" t="n">
        <x:v>5</x:v>
      </x:c>
      <x:c r="AF55" s="9" t="str">
        <x:v>Medium</x:v>
      </x:c>
      <x:c r="AG55" s="9" t="n">
        <x:v>2</x:v>
      </x:c>
      <x:c r="AH55" s="9" t="str">
        <x:v>Medium</x:v>
      </x:c>
      <x:c r="AI55" s="9" t="n">
        <x:v>3</x:v>
      </x:c>
      <x:c r="AJ55" s="9" t="str">
        <x:v>Low</x:v>
      </x:c>
      <x:c r="AK55" s="13" t="n">
        <x:f>(N55*15+I55*15+Y55*15+AI55*15+AG55*15+W55*15+AE55*10)*20/(15*COUNT(N55,I55,Y55,AI55,AG55,W55)+10*COUNT(AE55))</x:f>
        <x:v>56.5</x:v>
      </x:c>
      <x:c r="AL55" s="13" t="n">
        <x:f>(Q55*15+I55*15+Y55*15+AI55*15+AG55*15+X55*15+AE55*10)*20/(15*COUNT(Q55,I55,Y55,AI55,AG55,X55)+10*COUNT(AE55))</x:f>
        <x:v>56.5</x:v>
      </x:c>
      <x:c r="AM55" s="13" t="n">
        <x:f>(N55+I55+Y55+AI55+AG55)*15/COUNT(N55,I55,Y55,AI55,AG55)</x:f>
        <x:v>36</x:v>
      </x:c>
      <x:c r="AN55" s="13" t="n">
        <x:f>(Q55+I55+Y55+AI55+AG55)*15/COUNT(Q55,I55,Y55,AI55,AG55)</x:f>
        <x:v>36</x:v>
      </x:c>
      <x:c r="AO55" s="9" t="n">
        <x:f>IF(I55=1,1,0)+IF(Y55=1,1,0)+IF(AI55=1,1,0)+IF(AG55=1,1,0)</x:f>
        <x:v>0</x:v>
      </x:c>
      <x:c r="AP55" s="14" t="n">
        <x:f>(IF(M55="High",3,IF(M55="Medium",2,1))+IF(J55="High",3,IF(J55="Medium",2,1))+IF(Z55="High",3,IF(Z55="Medium",2,1))+IF(AF55="High",3,IF(AF55="Medium",2,1))+IF(AH55="High",3,IF(AH55="Medium",2,1))+IF(AJ55="High",3,IF(AJ55="Medium",2,1))+2)/7</x:f>
        <x:v>2</x:v>
      </x:c>
      <x:c r="AQ55" s="14" t="n">
        <x:f>(IF(P55="High",3,IF(P55="Medium",2,1))+IF(J55="High",3,IF(J55="Medium",2,1))+IF(Z55="High",3,IF(Z55="Medium",2,1))+IF(AF55="High",3,IF(AF55="Medium",2,1))+IF(AH55="High",3,IF(AH55="Medium",2,1))+IF(AJ55="High",3,IF(AJ55="Medium",2,1))+2)/7</x:f>
        <x:v>1.8571428571428572</x:v>
      </x:c>
      <x:c r="AR55" s="9" t="n">
        <x:f>IF(N55="",1,0)+IF(I55="",1,0)+IF(Y55="",1,0)+IF(AI55="",1,0)+IF(AG55="",1,0)+IF(W55="",1,0)+IF(AE55="",1,0)</x:f>
        <x:v>0</x:v>
      </x:c>
      <x:c r="AS55" s="9" t="n">
        <x:f>IF(Q55="",1,0)+IF(I55="",1,0)+IF(Y55="",1,0)+IF(AI55="",1,0)+IF(AG55="",1,0)+IF(X55="",1,0)+IF(AE55="",1,0)</x:f>
        <x:v>0</x:v>
      </x:c>
      <x:c r="AT55" s="9" t="n">
        <x:v>59</x:v>
      </x:c>
      <x:c r="AU55" s="9" t="n">
        <x:v>56</x:v>
      </x:c>
      <x:c r="AV55" s="9" t="str">
        <x:v>Not proposed</x:v>
      </x:c>
      <x:c r="AW55" s="9" t="str"/>
    </x:row>
    <x:row r="56">
      <x:c r="A56" s="9" t="str">
        <x:v>Telford</x:v>
      </x:c>
      <x:c r="B56" s="9" t="str">
        <x:v>England</x:v>
      </x:c>
      <x:c r="C56" s="9" t="str">
        <x:v>Telford and Wrekin</x:v>
      </x:c>
      <x:c r="D56" s="12" t="n">
        <x:v>52.675404</x:v>
      </x:c>
      <x:c r="E56" s="12" t="n">
        <x:v>-2.448752</x:v>
      </x:c>
      <x:c r="F56" s="9" t="n">
        <x:v>1223</x:v>
      </x:c>
      <x:c r="G56" s="9" t="n">
        <x:v>438</x:v>
      </x:c>
      <x:c r="H56" s="9" t="str">
        <x:v>data.police.uk street-crime records within 1 mile of Postcodes.io place centroid</x:v>
      </x:c>
      <x:c r="I56" s="9" t="n">
        <x:v>5</x:v>
      </x:c>
      <x:c r="J56" s="9" t="str">
        <x:v>Medium</x:v>
      </x:c>
      <x:c r="K56" s="10" t="n">
        <x:v>113500</x:v>
      </x:c>
      <x:c r="L56" s="9" t="n">
        <x:v>180</x:v>
      </x:c>
      <x:c r="M56" s="9" t="str">
        <x:v>High</x:v>
      </x:c>
      <x:c r="N56" s="9" t="n">
        <x:f>IF(K56&lt;='Methodology'!$B$15,5,IF(K56&gt;='Methodology'!$B$16,1,3))</x:f>
        <x:v>3</x:v>
      </x:c>
      <x:c r="O56" s="10" t="n">
        <x:v>600</x:v>
      </x:c>
      <x:c r="P56" s="9" t="str">
        <x:v>Medium</x:v>
      </x:c>
      <x:c r="Q56" s="9" t="n">
        <x:f>IF(O56&lt;='Methodology'!$B$17,5,IF(O56&gt;='Methodology'!$B$18,1,3))</x:f>
        <x:v>3</x:v>
      </x:c>
      <x:c r="R56" s="9" t="n">
        <x:v>31</x:v>
      </x:c>
      <x:c r="S56" s="9" t="n">
        <x:v>22</x:v>
      </x:c>
      <x:c r="T56" s="9" t="str">
        <x:v>Unclear</x:v>
      </x:c>
      <x:c r="U56" s="9" t="n">
        <x:v>3</x:v>
      </x:c>
      <x:c r="V56" s="9" t="n">
        <x:v>2</x:v>
      </x:c>
      <x:c r="W56" s="13" t="n">
        <x:f>MAX(1,MIN(5,U56+IF(T56="Known",0.5,IF(T56="Likely",0,-0.5))))</x:f>
        <x:v>2.5</x:v>
      </x:c>
      <x:c r="X56" s="13" t="n">
        <x:f>MAX(1,MIN(5,V56+IF(T56="Known",0.5,IF(T56="Likely",0,-0.5))))</x:f>
        <x:v>1.5</x:v>
      </x:c>
      <x:c r="Y56" s="9" t="n">
        <x:v>3</x:v>
      </x:c>
      <x:c r="Z56" s="9" t="str">
        <x:v>High</x:v>
      </x:c>
      <x:c r="AA56" s="9" t="n">
        <x:v>125</x:v>
      </x:c>
      <x:c r="AB56" s="9" t="n">
        <x:v>1</x:v>
      </x:c>
      <x:c r="AC56" s="9" t="n">
        <x:v>40</x:v>
      </x:c>
      <x:c r="AD56" s="9" t="n">
        <x:v>0</x:v>
      </x:c>
      <x:c r="AE56" s="9" t="n">
        <x:v>4</x:v>
      </x:c>
      <x:c r="AF56" s="9" t="str">
        <x:v>Medium</x:v>
      </x:c>
      <x:c r="AG56" s="9" t="n">
        <x:v>3</x:v>
      </x:c>
      <x:c r="AH56" s="9" t="str">
        <x:v>Medium</x:v>
      </x:c>
      <x:c r="AI56" s="9" t="n">
        <x:v>3</x:v>
      </x:c>
      <x:c r="AJ56" s="9" t="str">
        <x:v>Low</x:v>
      </x:c>
      <x:c r="AK56" s="13" t="n">
        <x:f>(N56*15+I56*15+Y56*15+AI56*15+AG56*15+W56*15+AE56*10)*20/(15*COUNT(N56,I56,Y56,AI56,AG56,W56)+10*COUNT(AE56))</x:f>
        <x:v>66.5</x:v>
      </x:c>
      <x:c r="AL56" s="13" t="n">
        <x:f>(Q56*15+I56*15+Y56*15+AI56*15+AG56*15+X56*15+AE56*10)*20/(15*COUNT(Q56,I56,Y56,AI56,AG56,X56)+10*COUNT(AE56))</x:f>
        <x:v>63.5</x:v>
      </x:c>
      <x:c r="AM56" s="13" t="n">
        <x:f>(N56+I56+Y56+AI56+AG56)*15/COUNT(N56,I56,Y56,AI56,AG56)</x:f>
        <x:v>51</x:v>
      </x:c>
      <x:c r="AN56" s="13" t="n">
        <x:f>(Q56+I56+Y56+AI56+AG56)*15/COUNT(Q56,I56,Y56,AI56,AG56)</x:f>
        <x:v>51</x:v>
      </x:c>
      <x:c r="AO56" s="9" t="n">
        <x:f>IF(I56=1,1,0)+IF(Y56=1,1,0)+IF(AI56=1,1,0)+IF(AG56=1,1,0)</x:f>
        <x:v>0</x:v>
      </x:c>
      <x:c r="AP56" s="14" t="n">
        <x:f>(IF(M56="High",3,IF(M56="Medium",2,1))+IF(J56="High",3,IF(J56="Medium",2,1))+IF(Z56="High",3,IF(Z56="Medium",2,1))+IF(AF56="High",3,IF(AF56="Medium",2,1))+IF(AH56="High",3,IF(AH56="Medium",2,1))+IF(AJ56="High",3,IF(AJ56="Medium",2,1))+2)/7</x:f>
        <x:v>2.142857142857143</x:v>
      </x:c>
      <x:c r="AQ56" s="14" t="n">
        <x:f>(IF(P56="High",3,IF(P56="Medium",2,1))+IF(J56="High",3,IF(J56="Medium",2,1))+IF(Z56="High",3,IF(Z56="Medium",2,1))+IF(AF56="High",3,IF(AF56="Medium",2,1))+IF(AH56="High",3,IF(AH56="Medium",2,1))+IF(AJ56="High",3,IF(AJ56="Medium",2,1))+2)/7</x:f>
        <x:v>2</x:v>
      </x:c>
      <x:c r="AR56" s="9" t="n">
        <x:f>IF(N56="",1,0)+IF(I56="",1,0)+IF(Y56="",1,0)+IF(AI56="",1,0)+IF(AG56="",1,0)+IF(W56="",1,0)+IF(AE56="",1,0)</x:f>
        <x:v>0</x:v>
      </x:c>
      <x:c r="AS56" s="9" t="n">
        <x:f>IF(Q56="",1,0)+IF(I56="",1,0)+IF(Y56="",1,0)+IF(AI56="",1,0)+IF(AG56="",1,0)+IF(X56="",1,0)+IF(AE56="",1,0)</x:f>
        <x:v>0</x:v>
      </x:c>
      <x:c r="AT56" s="9" t="n">
        <x:v>11</x:v>
      </x:c>
      <x:c r="AU56" s="9" t="n">
        <x:v>33</x:v>
      </x:c>
      <x:c r="AV56" s="9" t="str">
        <x:v>Proposed</x:v>
      </x:c>
      <x:c r="AW56" s="9" t="str">
        <x:v>Buy</x:v>
      </x:c>
    </x:row>
    <x:row r="57">
      <x:c r="A57" s="9" t="str">
        <x:v>Torbay</x:v>
      </x:c>
      <x:c r="B57" s="9" t="str">
        <x:v>England</x:v>
      </x:c>
      <x:c r="C57" s="9" t="str">
        <x:v>Torbay</x:v>
      </x:c>
      <x:c r="D57" s="12" t="n">
        <x:v>50.468826</x:v>
      </x:c>
      <x:c r="E57" s="12" t="n">
        <x:v>-3.531407</x:v>
      </x:c>
      <x:c r="F57" s="9" t="n">
        <x:v>2517</x:v>
      </x:c>
      <x:c r="G57" s="9" t="n">
        <x:v>940</x:v>
      </x:c>
      <x:c r="H57" s="9" t="str">
        <x:v>data.police.uk street-crime records within 1 mile of Postcodes.io place centroid</x:v>
      </x:c>
      <x:c r="I57" s="9" t="n">
        <x:v>3</x:v>
      </x:c>
      <x:c r="J57" s="9" t="str">
        <x:v>Medium</x:v>
      </x:c>
      <x:c r="K57" s="10" t="n">
        <x:v>148000</x:v>
      </x:c>
      <x:c r="L57" s="9" t="n">
        <x:v>936</x:v>
      </x:c>
      <x:c r="M57" s="9" t="str">
        <x:v>High</x:v>
      </x:c>
      <x:c r="N57" s="9" t="n">
        <x:f>IF(K57&lt;='Methodology'!$B$15,5,IF(K57&gt;='Methodology'!$B$16,1,3))</x:f>
        <x:v>1</x:v>
      </x:c>
      <x:c r="O57" s="10" t="n">
        <x:v>617</x:v>
      </x:c>
      <x:c r="P57" s="9" t="str">
        <x:v>Medium</x:v>
      </x:c>
      <x:c r="Q57" s="9" t="n">
        <x:f>IF(O57&lt;='Methodology'!$B$17,5,IF(O57&gt;='Methodology'!$B$18,1,3))</x:f>
        <x:v>3</x:v>
      </x:c>
      <x:c r="R57" s="9" t="n">
        <x:v>165</x:v>
      </x:c>
      <x:c r="S57" s="9" t="n">
        <x:v>51</x:v>
      </x:c>
      <x:c r="T57" s="9" t="str">
        <x:v>Unclear</x:v>
      </x:c>
      <x:c r="U57" s="9" t="n">
        <x:v>4</x:v>
      </x:c>
      <x:c r="V57" s="9" t="n">
        <x:v>3</x:v>
      </x:c>
      <x:c r="W57" s="13" t="n">
        <x:f>MAX(1,MIN(5,U57+IF(T57="Known",0.5,IF(T57="Likely",0,-0.5))))</x:f>
        <x:v>3.5</x:v>
      </x:c>
      <x:c r="X57" s="13" t="n">
        <x:f>MAX(1,MIN(5,V57+IF(T57="Known",0.5,IF(T57="Likely",0,-0.5))))</x:f>
        <x:v>2.5</x:v>
      </x:c>
      <x:c r="Y57" s="9" t="n">
        <x:v>3</x:v>
      </x:c>
      <x:c r="Z57" s="9" t="str">
        <x:v>Medium</x:v>
      </x:c>
      <x:c r="AA57" s="9" t="n">
        <x:v>180</x:v>
      </x:c>
      <x:c r="AB57" s="9" t="n">
        <x:v>1</x:v>
      </x:c>
      <x:c r="AC57" s="9" t="n">
        <x:v>195</x:v>
      </x:c>
      <x:c r="AD57" s="9" t="n">
        <x:v>1</x:v>
      </x:c>
      <x:c r="AE57" s="9" t="n">
        <x:v>3</x:v>
      </x:c>
      <x:c r="AF57" s="9" t="str">
        <x:v>Low</x:v>
      </x:c>
      <x:c r="AG57" s="9" t="n">
        <x:v>4</x:v>
      </x:c>
      <x:c r="AH57" s="9" t="str">
        <x:v>Medium</x:v>
      </x:c>
      <x:c r="AI57" s="9" t="n">
        <x:v>4</x:v>
      </x:c>
      <x:c r="AJ57" s="9" t="str">
        <x:v>Medium</x:v>
      </x:c>
      <x:c r="AK57" s="13" t="n">
        <x:f>(N57*15+I57*15+Y57*15+AI57*15+AG57*15+W57*15+AE57*10)*20/(15*COUNT(N57,I57,Y57,AI57,AG57,W57)+10*COUNT(AE57))</x:f>
        <x:v>61.5</x:v>
      </x:c>
      <x:c r="AL57" s="13" t="n">
        <x:f>(Q57*15+I57*15+Y57*15+AI57*15+AG57*15+X57*15+AE57*10)*20/(15*COUNT(Q57,I57,Y57,AI57,AG57,X57)+10*COUNT(AE57))</x:f>
        <x:v>64.5</x:v>
      </x:c>
      <x:c r="AM57" s="13" t="n">
        <x:f>(N57+I57+Y57+AI57+AG57)*15/COUNT(N57,I57,Y57,AI57,AG57)</x:f>
        <x:v>45</x:v>
      </x:c>
      <x:c r="AN57" s="13" t="n">
        <x:f>(Q57+I57+Y57+AI57+AG57)*15/COUNT(Q57,I57,Y57,AI57,AG57)</x:f>
        <x:v>51</x:v>
      </x:c>
      <x:c r="AO57" s="9" t="n">
        <x:f>IF(I57=1,1,0)+IF(Y57=1,1,0)+IF(AI57=1,1,0)+IF(AG57=1,1,0)</x:f>
        <x:v>0</x:v>
      </x:c>
      <x:c r="AP57" s="14" t="n">
        <x:f>(IF(M57="High",3,IF(M57="Medium",2,1))+IF(J57="High",3,IF(J57="Medium",2,1))+IF(Z57="High",3,IF(Z57="Medium",2,1))+IF(AF57="High",3,IF(AF57="Medium",2,1))+IF(AH57="High",3,IF(AH57="Medium",2,1))+IF(AJ57="High",3,IF(AJ57="Medium",2,1))+2)/7</x:f>
        <x:v>2</x:v>
      </x:c>
      <x:c r="AQ57" s="14" t="n">
        <x:f>(IF(P57="High",3,IF(P57="Medium",2,1))+IF(J57="High",3,IF(J57="Medium",2,1))+IF(Z57="High",3,IF(Z57="Medium",2,1))+IF(AF57="High",3,IF(AF57="Medium",2,1))+IF(AH57="High",3,IF(AH57="Medium",2,1))+IF(AJ57="High",3,IF(AJ57="Medium",2,1))+2)/7</x:f>
        <x:v>1.8571428571428572</x:v>
      </x:c>
      <x:c r="AR57" s="9" t="n">
        <x:f>IF(N57="",1,0)+IF(I57="",1,0)+IF(Y57="",1,0)+IF(AI57="",1,0)+IF(AG57="",1,0)+IF(W57="",1,0)+IF(AE57="",1,0)</x:f>
        <x:v>0</x:v>
      </x:c>
      <x:c r="AS57" s="9" t="n">
        <x:f>IF(Q57="",1,0)+IF(I57="",1,0)+IF(Y57="",1,0)+IF(AI57="",1,0)+IF(AG57="",1,0)+IF(X57="",1,0)+IF(AE57="",1,0)</x:f>
        <x:v>0</x:v>
      </x:c>
      <x:c r="AT57" s="9" t="n">
        <x:v>41</x:v>
      </x:c>
      <x:c r="AU57" s="9" t="n">
        <x:v>29</x:v>
      </x:c>
      <x:c r="AV57" s="9" t="str">
        <x:v>Not proposed</x:v>
      </x:c>
      <x:c r="AW57" s="9" t="str"/>
    </x:row>
    <x:row r="58">
      <x:c r="A58" s="9" t="str">
        <x:v>Wakefield</x:v>
      </x:c>
      <x:c r="B58" s="9" t="str">
        <x:v>England</x:v>
      </x:c>
      <x:c r="C58" s="9" t="str">
        <x:v>Wakefield</x:v>
      </x:c>
      <x:c r="D58" s="12" t="n">
        <x:v>53.683704</x:v>
      </x:c>
      <x:c r="E58" s="12" t="n">
        <x:v>-1.498169</x:v>
      </x:c>
      <x:c r="F58" s="9" t="n">
        <x:v>2844</x:v>
      </x:c>
      <x:c r="G58" s="9" t="n">
        <x:v>612</x:v>
      </x:c>
      <x:c r="H58" s="9" t="str">
        <x:v>data.police.uk street-crime records within 1 mile of Postcodes.io place centroid</x:v>
      </x:c>
      <x:c r="I58" s="9" t="n">
        <x:v>4</x:v>
      </x:c>
      <x:c r="J58" s="9" t="str">
        <x:v>Medium</x:v>
      </x:c>
      <x:c r="K58" s="10" t="n">
        <x:v>116000</x:v>
      </x:c>
      <x:c r="L58" s="9" t="n">
        <x:v>273</x:v>
      </x:c>
      <x:c r="M58" s="9" t="str">
        <x:v>High</x:v>
      </x:c>
      <x:c r="N58" s="9" t="n">
        <x:f>IF(K58&lt;='Methodology'!$B$15,5,IF(K58&gt;='Methodology'!$B$16,1,3))</x:f>
        <x:v>3</x:v>
      </x:c>
      <x:c r="O58" s="10" t="n">
        <x:v>572</x:v>
      </x:c>
      <x:c r="P58" s="9" t="str">
        <x:v>Medium</x:v>
      </x:c>
      <x:c r="Q58" s="9" t="n">
        <x:f>IF(O58&lt;='Methodology'!$B$17,5,IF(O58&gt;='Methodology'!$B$18,1,3))</x:f>
        <x:v>5</x:v>
      </x:c>
      <x:c r="R58" s="9" t="n">
        <x:v>46</x:v>
      </x:c>
      <x:c r="S58" s="9" t="n">
        <x:v>46</x:v>
      </x:c>
      <x:c r="T58" s="9" t="str">
        <x:v>Unclear</x:v>
      </x:c>
      <x:c r="U58" s="9" t="n">
        <x:v>3</x:v>
      </x:c>
      <x:c r="V58" s="9" t="n">
        <x:v>3</x:v>
      </x:c>
      <x:c r="W58" s="13" t="n">
        <x:f>MAX(1,MIN(5,U58+IF(T58="Known",0.5,IF(T58="Likely",0,-0.5))))</x:f>
        <x:v>2.5</x:v>
      </x:c>
      <x:c r="X58" s="13" t="n">
        <x:f>MAX(1,MIN(5,V58+IF(T58="Known",0.5,IF(T58="Likely",0,-0.5))))</x:f>
        <x:v>2.5</x:v>
      </x:c>
      <x:c r="Y58" s="9" t="n">
        <x:v>4</x:v>
      </x:c>
      <x:c r="Z58" s="9" t="str">
        <x:v>High</x:v>
      </x:c>
      <x:c r="AA58" s="9" t="n">
        <x:v>120</x:v>
      </x:c>
      <x:c r="AB58" s="9" t="n">
        <x:v>0</x:v>
      </x:c>
      <x:c r="AC58" s="9" t="n">
        <x:v>110</x:v>
      </x:c>
      <x:c r="AD58" s="9" t="n">
        <x:v>1</x:v>
      </x:c>
      <x:c r="AE58" s="9" t="n">
        <x:v>4</x:v>
      </x:c>
      <x:c r="AF58" s="9" t="str">
        <x:v>Medium</x:v>
      </x:c>
      <x:c r="AG58" s="9" t="n">
        <x:v>2</x:v>
      </x:c>
      <x:c r="AH58" s="9" t="str">
        <x:v>Medium</x:v>
      </x:c>
      <x:c r="AI58" s="9" t="n">
        <x:v>3</x:v>
      </x:c>
      <x:c r="AJ58" s="9" t="str">
        <x:v>Low</x:v>
      </x:c>
      <x:c r="AK58" s="13" t="n">
        <x:f>(N58*15+I58*15+Y58*15+AI58*15+AG58*15+W58*15+AE58*10)*20/(15*COUNT(N58,I58,Y58,AI58,AG58,W58)+10*COUNT(AE58))</x:f>
        <x:v>63.5</x:v>
      </x:c>
      <x:c r="AL58" s="13" t="n">
        <x:f>(Q58*15+I58*15+Y58*15+AI58*15+AG58*15+X58*15+AE58*10)*20/(15*COUNT(Q58,I58,Y58,AI58,AG58,X58)+10*COUNT(AE58))</x:f>
        <x:v>69.5</x:v>
      </x:c>
      <x:c r="AM58" s="13" t="n">
        <x:f>(N58+I58+Y58+AI58+AG58)*15/COUNT(N58,I58,Y58,AI58,AG58)</x:f>
        <x:v>48</x:v>
      </x:c>
      <x:c r="AN58" s="13" t="n">
        <x:f>(Q58+I58+Y58+AI58+AG58)*15/COUNT(Q58,I58,Y58,AI58,AG58)</x:f>
        <x:v>54</x:v>
      </x:c>
      <x:c r="AO58" s="9" t="n">
        <x:f>IF(I58=1,1,0)+IF(Y58=1,1,0)+IF(AI58=1,1,0)+IF(AG58=1,1,0)</x:f>
        <x:v>0</x:v>
      </x:c>
      <x:c r="AP58" s="14" t="n">
        <x:f>(IF(M58="High",3,IF(M58="Medium",2,1))+IF(J58="High",3,IF(J58="Medium",2,1))+IF(Z58="High",3,IF(Z58="Medium",2,1))+IF(AF58="High",3,IF(AF58="Medium",2,1))+IF(AH58="High",3,IF(AH58="Medium",2,1))+IF(AJ58="High",3,IF(AJ58="Medium",2,1))+2)/7</x:f>
        <x:v>2.142857142857143</x:v>
      </x:c>
      <x:c r="AQ58" s="14" t="n">
        <x:f>(IF(P58="High",3,IF(P58="Medium",2,1))+IF(J58="High",3,IF(J58="Medium",2,1))+IF(Z58="High",3,IF(Z58="Medium",2,1))+IF(AF58="High",3,IF(AF58="Medium",2,1))+IF(AH58="High",3,IF(AH58="Medium",2,1))+IF(AJ58="High",3,IF(AJ58="Medium",2,1))+2)/7</x:f>
        <x:v>2</x:v>
      </x:c>
      <x:c r="AR58" s="9" t="n">
        <x:f>IF(N58="",1,0)+IF(I58="",1,0)+IF(Y58="",1,0)+IF(AI58="",1,0)+IF(AG58="",1,0)+IF(W58="",1,0)+IF(AE58="",1,0)</x:f>
        <x:v>0</x:v>
      </x:c>
      <x:c r="AS58" s="9" t="n">
        <x:f>IF(Q58="",1,0)+IF(I58="",1,0)+IF(Y58="",1,0)+IF(AI58="",1,0)+IF(AG58="",1,0)+IF(X58="",1,0)+IF(AE58="",1,0)</x:f>
        <x:v>0</x:v>
      </x:c>
      <x:c r="AT58" s="9" t="n">
        <x:v>27</x:v>
      </x:c>
      <x:c r="AU58" s="9" t="n">
        <x:v>7</x:v>
      </x:c>
      <x:c r="AV58" s="9" t="str">
        <x:v>Proposed</x:v>
      </x:c>
      <x:c r="AW58" s="9" t="str">
        <x:v>Rent</x:v>
      </x:c>
    </x:row>
    <x:row r="59">
      <x:c r="A59" s="9" t="str">
        <x:v>Walsall</x:v>
      </x:c>
      <x:c r="B59" s="9" t="str">
        <x:v>England</x:v>
      </x:c>
      <x:c r="C59" s="9" t="str">
        <x:v>Walsall</x:v>
      </x:c>
      <x:c r="D59" s="12" t="n">
        <x:v>52.586221</x:v>
      </x:c>
      <x:c r="E59" s="12" t="n">
        <x:v>-1.980341</x:v>
      </x:c>
      <x:c r="F59" s="9" t="n">
        <x:v>3067</x:v>
      </x:c>
      <x:c r="G59" s="9" t="n">
        <x:v>263</x:v>
      </x:c>
      <x:c r="H59" s="9" t="str">
        <x:v>data.police.uk street-crime records within 1 mile of Postcodes.io place centroid</x:v>
      </x:c>
      <x:c r="I59" s="9" t="n">
        <x:v>4</x:v>
      </x:c>
      <x:c r="J59" s="9" t="str">
        <x:v>Medium</x:v>
      </x:c>
      <x:c r="K59" s="10" t="n">
        <x:v>119975</x:v>
      </x:c>
      <x:c r="L59" s="9" t="n">
        <x:v>404</x:v>
      </x:c>
      <x:c r="M59" s="9" t="str">
        <x:v>High</x:v>
      </x:c>
      <x:c r="N59" s="9" t="n">
        <x:f>IF(K59&lt;='Methodology'!$B$15,5,IF(K59&gt;='Methodology'!$B$16,1,3))</x:f>
        <x:v>3</x:v>
      </x:c>
      <x:c r="O59" s="10" t="n">
        <x:v>648</x:v>
      </x:c>
      <x:c r="P59" s="9" t="str">
        <x:v>Medium</x:v>
      </x:c>
      <x:c r="Q59" s="9" t="n">
        <x:f>IF(O59&lt;='Methodology'!$B$17,5,IF(O59&gt;='Methodology'!$B$18,1,3))</x:f>
        <x:v>3</x:v>
      </x:c>
      <x:c r="R59" s="9" t="n">
        <x:v>36</x:v>
      </x:c>
      <x:c r="S59" s="9" t="n">
        <x:v>44</x:v>
      </x:c>
      <x:c r="T59" s="9" t="str">
        <x:v>Unclear</x:v>
      </x:c>
      <x:c r="U59" s="9" t="n">
        <x:v>3</x:v>
      </x:c>
      <x:c r="V59" s="9" t="n">
        <x:v>3</x:v>
      </x:c>
      <x:c r="W59" s="13" t="n">
        <x:f>MAX(1,MIN(5,U59+IF(T59="Known",0.5,IF(T59="Likely",0,-0.5))))</x:f>
        <x:v>2.5</x:v>
      </x:c>
      <x:c r="X59" s="13" t="n">
        <x:f>MAX(1,MIN(5,V59+IF(T59="Known",0.5,IF(T59="Likely",0,-0.5))))</x:f>
        <x:v>2.5</x:v>
      </x:c>
      <x:c r="Y59" s="9" t="n">
        <x:v>4</x:v>
      </x:c>
      <x:c r="Z59" s="9" t="str">
        <x:v>High</x:v>
      </x:c>
      <x:c r="AA59" s="9" t="n">
        <x:v>115</x:v>
      </x:c>
      <x:c r="AB59" s="9" t="n">
        <x:v>1</x:v>
      </x:c>
      <x:c r="AC59" s="9" t="n">
        <x:v>25</x:v>
      </x:c>
      <x:c r="AD59" s="9" t="n">
        <x:v>0</x:v>
      </x:c>
      <x:c r="AE59" s="9" t="n">
        <x:v>5</x:v>
      </x:c>
      <x:c r="AF59" s="9" t="str">
        <x:v>Medium</x:v>
      </x:c>
      <x:c r="AG59" s="9" t="n">
        <x:v>2</x:v>
      </x:c>
      <x:c r="AH59" s="9" t="str">
        <x:v>Medium</x:v>
      </x:c>
      <x:c r="AI59" s="9" t="n">
        <x:v>2</x:v>
      </x:c>
      <x:c r="AJ59" s="9" t="str">
        <x:v>Low</x:v>
      </x:c>
      <x:c r="AK59" s="13" t="n">
        <x:f>(N59*15+I59*15+Y59*15+AI59*15+AG59*15+W59*15+AE59*10)*20/(15*COUNT(N59,I59,Y59,AI59,AG59,W59)+10*COUNT(AE59))</x:f>
        <x:v>62.5</x:v>
      </x:c>
      <x:c r="AL59" s="13" t="n">
        <x:f>(Q59*15+I59*15+Y59*15+AI59*15+AG59*15+X59*15+AE59*10)*20/(15*COUNT(Q59,I59,Y59,AI59,AG59,X59)+10*COUNT(AE59))</x:f>
        <x:v>62.5</x:v>
      </x:c>
      <x:c r="AM59" s="13" t="n">
        <x:f>(N59+I59+Y59+AI59+AG59)*15/COUNT(N59,I59,Y59,AI59,AG59)</x:f>
        <x:v>45</x:v>
      </x:c>
      <x:c r="AN59" s="13" t="n">
        <x:f>(Q59+I59+Y59+AI59+AG59)*15/COUNT(Q59,I59,Y59,AI59,AG59)</x:f>
        <x:v>45</x:v>
      </x:c>
      <x:c r="AO59" s="9" t="n">
        <x:f>IF(I59=1,1,0)+IF(Y59=1,1,0)+IF(AI59=1,1,0)+IF(AG59=1,1,0)</x:f>
        <x:v>0</x:v>
      </x:c>
      <x:c r="AP59" s="14" t="n">
        <x:f>(IF(M59="High",3,IF(M59="Medium",2,1))+IF(J59="High",3,IF(J59="Medium",2,1))+IF(Z59="High",3,IF(Z59="Medium",2,1))+IF(AF59="High",3,IF(AF59="Medium",2,1))+IF(AH59="High",3,IF(AH59="Medium",2,1))+IF(AJ59="High",3,IF(AJ59="Medium",2,1))+2)/7</x:f>
        <x:v>2.142857142857143</x:v>
      </x:c>
      <x:c r="AQ59" s="14" t="n">
        <x:f>(IF(P59="High",3,IF(P59="Medium",2,1))+IF(J59="High",3,IF(J59="Medium",2,1))+IF(Z59="High",3,IF(Z59="Medium",2,1))+IF(AF59="High",3,IF(AF59="Medium",2,1))+IF(AH59="High",3,IF(AH59="Medium",2,1))+IF(AJ59="High",3,IF(AJ59="Medium",2,1))+2)/7</x:f>
        <x:v>2</x:v>
      </x:c>
      <x:c r="AR59" s="9" t="n">
        <x:f>IF(N59="",1,0)+IF(I59="",1,0)+IF(Y59="",1,0)+IF(AI59="",1,0)+IF(AG59="",1,0)+IF(W59="",1,0)+IF(AE59="",1,0)</x:f>
        <x:v>0</x:v>
      </x:c>
      <x:c r="AS59" s="9" t="n">
        <x:f>IF(Q59="",1,0)+IF(I59="",1,0)+IF(Y59="",1,0)+IF(AI59="",1,0)+IF(AG59="",1,0)+IF(X59="",1,0)+IF(AE59="",1,0)</x:f>
        <x:v>0</x:v>
      </x:c>
      <x:c r="AT59" s="9" t="n">
        <x:v>35</x:v>
      </x:c>
      <x:c r="AU59" s="9" t="n">
        <x:v>38</x:v>
      </x:c>
      <x:c r="AV59" s="9" t="str">
        <x:v>Not proposed</x:v>
      </x:c>
      <x:c r="AW59" s="9" t="str"/>
    </x:row>
    <x:row r="60">
      <x:c r="A60" s="9" t="str">
        <x:v>Warrington</x:v>
      </x:c>
      <x:c r="B60" s="9" t="str">
        <x:v>England</x:v>
      </x:c>
      <x:c r="C60" s="9" t="str">
        <x:v>Warrington</x:v>
      </x:c>
      <x:c r="D60" s="12" t="n">
        <x:v>53.38957</x:v>
      </x:c>
      <x:c r="E60" s="12" t="n">
        <x:v>-2.590897</x:v>
      </x:c>
      <x:c r="F60" s="9" t="n">
        <x:v>2355</x:v>
      </x:c>
      <x:c r="G60" s="9" t="n">
        <x:v>452</x:v>
      </x:c>
      <x:c r="H60" s="9" t="str">
        <x:v>data.police.uk street-crime records within 1 mile of Postcodes.io place centroid</x:v>
      </x:c>
      <x:c r="I60" s="9" t="n">
        <x:v>4</x:v>
      </x:c>
      <x:c r="J60" s="9" t="str">
        <x:v>Medium</x:v>
      </x:c>
      <x:c r="K60" s="10" t="n">
        <x:v>123250</x:v>
      </x:c>
      <x:c r="L60" s="9" t="n">
        <x:v>498</x:v>
      </x:c>
      <x:c r="M60" s="9" t="str">
        <x:v>High</x:v>
      </x:c>
      <x:c r="N60" s="9" t="n">
        <x:f>IF(K60&lt;='Methodology'!$B$15,5,IF(K60&gt;='Methodology'!$B$16,1,3))</x:f>
        <x:v>3</x:v>
      </x:c>
      <x:c r="O60" s="10" t="n">
        <x:v>670</x:v>
      </x:c>
      <x:c r="P60" s="9" t="str">
        <x:v>Medium</x:v>
      </x:c>
      <x:c r="Q60" s="9" t="n">
        <x:f>IF(O60&lt;='Methodology'!$B$17,5,IF(O60&gt;='Methodology'!$B$18,1,3))</x:f>
        <x:v>3</x:v>
      </x:c>
      <x:c r="R60" s="9" t="n">
        <x:v>56</x:v>
      </x:c>
      <x:c r="S60" s="9" t="n">
        <x:v>40</x:v>
      </x:c>
      <x:c r="T60" s="9" t="str">
        <x:v>Unclear</x:v>
      </x:c>
      <x:c r="U60" s="9" t="n">
        <x:v>3</x:v>
      </x:c>
      <x:c r="V60" s="9" t="n">
        <x:v>3</x:v>
      </x:c>
      <x:c r="W60" s="13" t="n">
        <x:f>MAX(1,MIN(5,U60+IF(T60="Known",0.5,IF(T60="Likely",0,-0.5))))</x:f>
        <x:v>2.5</x:v>
      </x:c>
      <x:c r="X60" s="13" t="n">
        <x:f>MAX(1,MIN(5,V60+IF(T60="Known",0.5,IF(T60="Likely",0,-0.5))))</x:f>
        <x:v>2.5</x:v>
      </x:c>
      <x:c r="Y60" s="9" t="n">
        <x:v>4</x:v>
      </x:c>
      <x:c r="Z60" s="9" t="str">
        <x:v>Medium</x:v>
      </x:c>
      <x:c r="AA60" s="9" t="n">
        <x:v>105</x:v>
      </x:c>
      <x:c r="AB60" s="9" t="n">
        <x:v>0</x:v>
      </x:c>
      <x:c r="AC60" s="9" t="n">
        <x:v>70</x:v>
      </x:c>
      <x:c r="AD60" s="9" t="n">
        <x:v>0</x:v>
      </x:c>
      <x:c r="AE60" s="9" t="n">
        <x:v>5</x:v>
      </x:c>
      <x:c r="AF60" s="9" t="str">
        <x:v>Medium</x:v>
      </x:c>
      <x:c r="AG60" s="9" t="n">
        <x:v>2</x:v>
      </x:c>
      <x:c r="AH60" s="9" t="str">
        <x:v>Medium</x:v>
      </x:c>
      <x:c r="AI60" s="9" t="n">
        <x:v>3</x:v>
      </x:c>
      <x:c r="AJ60" s="9" t="str">
        <x:v>Low</x:v>
      </x:c>
      <x:c r="AK60" s="13" t="n">
        <x:f>(N60*15+I60*15+Y60*15+AI60*15+AG60*15+W60*15+AE60*10)*20/(15*COUNT(N60,I60,Y60,AI60,AG60,W60)+10*COUNT(AE60))</x:f>
        <x:v>65.5</x:v>
      </x:c>
      <x:c r="AL60" s="13" t="n">
        <x:f>(Q60*15+I60*15+Y60*15+AI60*15+AG60*15+X60*15+AE60*10)*20/(15*COUNT(Q60,I60,Y60,AI60,AG60,X60)+10*COUNT(AE60))</x:f>
        <x:v>65.5</x:v>
      </x:c>
      <x:c r="AM60" s="13" t="n">
        <x:f>(N60+I60+Y60+AI60+AG60)*15/COUNT(N60,I60,Y60,AI60,AG60)</x:f>
        <x:v>48</x:v>
      </x:c>
      <x:c r="AN60" s="13" t="n">
        <x:f>(Q60+I60+Y60+AI60+AG60)*15/COUNT(Q60,I60,Y60,AI60,AG60)</x:f>
        <x:v>48</x:v>
      </x:c>
      <x:c r="AO60" s="9" t="n">
        <x:f>IF(I60=1,1,0)+IF(Y60=1,1,0)+IF(AI60=1,1,0)+IF(AG60=1,1,0)</x:f>
        <x:v>0</x:v>
      </x:c>
      <x:c r="AP60" s="14" t="n">
        <x:f>(IF(M60="High",3,IF(M60="Medium",2,1))+IF(J60="High",3,IF(J60="Medium",2,1))+IF(Z60="High",3,IF(Z60="Medium",2,1))+IF(AF60="High",3,IF(AF60="Medium",2,1))+IF(AH60="High",3,IF(AH60="Medium",2,1))+IF(AJ60="High",3,IF(AJ60="Medium",2,1))+2)/7</x:f>
        <x:v>2</x:v>
      </x:c>
      <x:c r="AQ60" s="14" t="n">
        <x:f>(IF(P60="High",3,IF(P60="Medium",2,1))+IF(J60="High",3,IF(J60="Medium",2,1))+IF(Z60="High",3,IF(Z60="Medium",2,1))+IF(AF60="High",3,IF(AF60="Medium",2,1))+IF(AH60="High",3,IF(AH60="Medium",2,1))+IF(AJ60="High",3,IF(AJ60="Medium",2,1))+2)/7</x:f>
        <x:v>1.8571428571428572</x:v>
      </x:c>
      <x:c r="AR60" s="9" t="n">
        <x:f>IF(N60="",1,0)+IF(I60="",1,0)+IF(Y60="",1,0)+IF(AI60="",1,0)+IF(AG60="",1,0)+IF(W60="",1,0)+IF(AE60="",1,0)</x:f>
        <x:v>0</x:v>
      </x:c>
      <x:c r="AS60" s="9" t="n">
        <x:f>IF(Q60="",1,0)+IF(I60="",1,0)+IF(Y60="",1,0)+IF(AI60="",1,0)+IF(AG60="",1,0)+IF(X60="",1,0)+IF(AE60="",1,0)</x:f>
        <x:v>0</x:v>
      </x:c>
      <x:c r="AT60" s="9" t="n">
        <x:v>20</x:v>
      </x:c>
      <x:c r="AU60" s="9" t="n">
        <x:v>25</x:v>
      </x:c>
      <x:c r="AV60" s="9" t="str">
        <x:v>Not proposed</x:v>
      </x:c>
      <x:c r="AW60" s="9" t="str"/>
    </x:row>
    <x:row r="61">
      <x:c r="A61" s="9" t="str">
        <x:v>Wigan</x:v>
      </x:c>
      <x:c r="B61" s="9" t="str">
        <x:v>England</x:v>
      </x:c>
      <x:c r="C61" s="9" t="str">
        <x:v>Wigan</x:v>
      </x:c>
      <x:c r="D61" s="12" t="n">
        <x:v>53.545539</x:v>
      </x:c>
      <x:c r="E61" s="12" t="n">
        <x:v>-2.629695</x:v>
      </x:c>
      <x:c r="F61" s="9"/>
      <x:c r="G61" s="9"/>
      <x:c r="H61" s="9" t="str">
        <x:v>data.police.uk street-crime records within 1 mile of Postcodes.io place centroid</x:v>
      </x:c>
      <x:c r="I61" s="9"/>
      <x:c r="J61" s="9" t="str">
        <x:v>Low</x:v>
      </x:c>
      <x:c r="K61" s="10" t="n">
        <x:v>103750</x:v>
      </x:c>
      <x:c r="L61" s="9" t="n">
        <x:v>200</x:v>
      </x:c>
      <x:c r="M61" s="9" t="str">
        <x:v>High</x:v>
      </x:c>
      <x:c r="N61" s="9" t="n">
        <x:f>IF(K61&lt;='Methodology'!$B$15,5,IF(K61&gt;='Methodology'!$B$16,1,3))</x:f>
        <x:v>5</x:v>
      </x:c>
      <x:c r="O61" s="10" t="n">
        <x:v>541</x:v>
      </x:c>
      <x:c r="P61" s="9" t="str">
        <x:v>Medium</x:v>
      </x:c>
      <x:c r="Q61" s="9" t="n">
        <x:f>IF(O61&lt;='Methodology'!$B$17,5,IF(O61&gt;='Methodology'!$B$18,1,3))</x:f>
        <x:v>5</x:v>
      </x:c>
      <x:c r="R61" s="9" t="n">
        <x:v>15</x:v>
      </x:c>
      <x:c r="S61" s="9" t="n">
        <x:v>23</x:v>
      </x:c>
      <x:c r="T61" s="9" t="str">
        <x:v>Unclear</x:v>
      </x:c>
      <x:c r="U61" s="9" t="n">
        <x:v>2</x:v>
      </x:c>
      <x:c r="V61" s="9" t="n">
        <x:v>2</x:v>
      </x:c>
      <x:c r="W61" s="13" t="n">
        <x:f>MAX(1,MIN(5,U61+IF(T61="Known",0.5,IF(T61="Likely",0,-0.5))))</x:f>
        <x:v>1.5</x:v>
      </x:c>
      <x:c r="X61" s="13" t="n">
        <x:f>MAX(1,MIN(5,V61+IF(T61="Known",0.5,IF(T61="Likely",0,-0.5))))</x:f>
        <x:v>1.5</x:v>
      </x:c>
      <x:c r="Y61" s="9" t="n">
        <x:v>4</x:v>
      </x:c>
      <x:c r="Z61" s="9" t="str">
        <x:v>High</x:v>
      </x:c>
      <x:c r="AA61" s="9" t="n">
        <x:v>120</x:v>
      </x:c>
      <x:c r="AB61" s="9" t="n">
        <x:v>0</x:v>
      </x:c>
      <x:c r="AC61" s="9" t="n">
        <x:v>85</x:v>
      </x:c>
      <x:c r="AD61" s="9" t="n">
        <x:v>0</x:v>
      </x:c>
      <x:c r="AE61" s="9" t="n">
        <x:v>4</x:v>
      </x:c>
      <x:c r="AF61" s="9" t="str">
        <x:v>Medium</x:v>
      </x:c>
      <x:c r="AG61" s="9" t="n">
        <x:v>3</x:v>
      </x:c>
      <x:c r="AH61" s="9" t="str">
        <x:v>Medium</x:v>
      </x:c>
      <x:c r="AI61" s="9" t="n">
        <x:v>3</x:v>
      </x:c>
      <x:c r="AJ61" s="9" t="str">
        <x:v>Low</x:v>
      </x:c>
      <x:c r="AK61" s="13" t="n">
        <x:f>(N61*15+I61*15+Y61*15+AI61*15+AG61*15+W61*15+AE61*10)*20/(15*COUNT(N61,I61,Y61,AI61,AG61,W61)+10*COUNT(AE61))</x:f>
        <x:v>67.6470588235294</x:v>
      </x:c>
      <x:c r="AL61" s="13" t="n">
        <x:f>(Q61*15+I61*15+Y61*15+AI61*15+AG61*15+X61*15+AE61*10)*20/(15*COUNT(Q61,I61,Y61,AI61,AG61,X61)+10*COUNT(AE61))</x:f>
        <x:v>67.6470588235294</x:v>
      </x:c>
      <x:c r="AM61" s="13" t="n">
        <x:f>(N61+I61+Y61+AI61+AG61)*15/COUNT(N61,I61,Y61,AI61,AG61)</x:f>
        <x:v>56.25</x:v>
      </x:c>
      <x:c r="AN61" s="13" t="n">
        <x:f>(Q61+I61+Y61+AI61+AG61)*15/COUNT(Q61,I61,Y61,AI61,AG61)</x:f>
        <x:v>56.25</x:v>
      </x:c>
      <x:c r="AO61" s="9" t="n">
        <x:f>IF(I61=1,1,0)+IF(Y61=1,1,0)+IF(AI61=1,1,0)+IF(AG61=1,1,0)</x:f>
        <x:v>0</x:v>
      </x:c>
      <x:c r="AP61" s="14" t="n">
        <x:f>(IF(M61="High",3,IF(M61="Medium",2,1))+IF(J61="High",3,IF(J61="Medium",2,1))+IF(Z61="High",3,IF(Z61="Medium",2,1))+IF(AF61="High",3,IF(AF61="Medium",2,1))+IF(AH61="High",3,IF(AH61="Medium",2,1))+IF(AJ61="High",3,IF(AJ61="Medium",2,1))+2)/7</x:f>
        <x:v>2</x:v>
      </x:c>
      <x:c r="AQ61" s="14" t="n">
        <x:f>(IF(P61="High",3,IF(P61="Medium",2,1))+IF(J61="High",3,IF(J61="Medium",2,1))+IF(Z61="High",3,IF(Z61="Medium",2,1))+IF(AF61="High",3,IF(AF61="Medium",2,1))+IF(AH61="High",3,IF(AH61="Medium",2,1))+IF(AJ61="High",3,IF(AJ61="Medium",2,1))+2)/7</x:f>
        <x:v>1.8571428571428572</x:v>
      </x:c>
      <x:c r="AR61" s="9" t="n">
        <x:f>IF(N61="",1,0)+IF(I61="",1,0)+IF(Y61="",1,0)+IF(AI61="",1,0)+IF(AG61="",1,0)+IF(W61="",1,0)+IF(AE61="",1,0)</x:f>
        <x:v>1</x:v>
      </x:c>
      <x:c r="AS61" s="9" t="n">
        <x:f>IF(Q61="",1,0)+IF(I61="",1,0)+IF(Y61="",1,0)+IF(AI61="",1,0)+IF(AG61="",1,0)+IF(X61="",1,0)+IF(AE61="",1,0)</x:f>
        <x:v>1</x:v>
      </x:c>
      <x:c r="AT61" s="9" t="n">
        <x:v>8</x:v>
      </x:c>
      <x:c r="AU61" s="9" t="n">
        <x:v>10</x:v>
      </x:c>
      <x:c r="AV61" s="9" t="str">
        <x:v>Proposed</x:v>
      </x:c>
      <x:c r="AW61" s="9" t="str">
        <x:v>Both</x:v>
      </x:c>
    </x:row>
    <x:row r="62">
      <x:c r="A62" s="9" t="str">
        <x:v>Wolverhampton</x:v>
      </x:c>
      <x:c r="B62" s="9" t="str">
        <x:v>England</x:v>
      </x:c>
      <x:c r="C62" s="9" t="str">
        <x:v>Wolverhampton</x:v>
      </x:c>
      <x:c r="D62" s="12" t="n">
        <x:v>52.586205</x:v>
      </x:c>
      <x:c r="E62" s="12" t="n">
        <x:v>-2.129916</x:v>
      </x:c>
      <x:c r="F62" s="9" t="n">
        <x:v>3338</x:v>
      </x:c>
      <x:c r="G62" s="9" t="n">
        <x:v>346</x:v>
      </x:c>
      <x:c r="H62" s="9" t="str">
        <x:v>data.police.uk street-crime records within 1 mile of Postcodes.io place centroid</x:v>
      </x:c>
      <x:c r="I62" s="9" t="n">
        <x:v>4</x:v>
      </x:c>
      <x:c r="J62" s="9" t="str">
        <x:v>Medium</x:v>
      </x:c>
      <x:c r="K62" s="10" t="n">
        <x:v>117500</x:v>
      </x:c>
      <x:c r="L62" s="9" t="n">
        <x:v>462</x:v>
      </x:c>
      <x:c r="M62" s="9" t="str">
        <x:v>High</x:v>
      </x:c>
      <x:c r="N62" s="9" t="n">
        <x:f>IF(K62&lt;='Methodology'!$B$15,5,IF(K62&gt;='Methodology'!$B$16,1,3))</x:f>
        <x:v>3</x:v>
      </x:c>
      <x:c r="O62" s="10" t="n">
        <x:v>671</x:v>
      </x:c>
      <x:c r="P62" s="9" t="str">
        <x:v>Medium</x:v>
      </x:c>
      <x:c r="Q62" s="9" t="n">
        <x:f>IF(O62&lt;='Methodology'!$B$17,5,IF(O62&gt;='Methodology'!$B$18,1,3))</x:f>
        <x:v>3</x:v>
      </x:c>
      <x:c r="R62" s="9" t="n">
        <x:v>51</x:v>
      </x:c>
      <x:c r="S62" s="9" t="n">
        <x:v>94</x:v>
      </x:c>
      <x:c r="T62" s="9" t="str">
        <x:v>Unclear</x:v>
      </x:c>
      <x:c r="U62" s="9" t="n">
        <x:v>3</x:v>
      </x:c>
      <x:c r="V62" s="9" t="n">
        <x:v>4</x:v>
      </x:c>
      <x:c r="W62" s="13" t="n">
        <x:f>MAX(1,MIN(5,U62+IF(T62="Known",0.5,IF(T62="Likely",0,-0.5))))</x:f>
        <x:v>2.5</x:v>
      </x:c>
      <x:c r="X62" s="13" t="n">
        <x:f>MAX(1,MIN(5,V62+IF(T62="Known",0.5,IF(T62="Likely",0,-0.5))))</x:f>
        <x:v>3.5</x:v>
      </x:c>
      <x:c r="Y62" s="9" t="n">
        <x:v>4</x:v>
      </x:c>
      <x:c r="Z62" s="9" t="str">
        <x:v>High</x:v>
      </x:c>
      <x:c r="AA62" s="9" t="n">
        <x:v>105</x:v>
      </x:c>
      <x:c r="AB62" s="9" t="n">
        <x:v>0</x:v>
      </x:c>
      <x:c r="AC62" s="9" t="n">
        <x:v>20</x:v>
      </x:c>
      <x:c r="AD62" s="9" t="n">
        <x:v>0</x:v>
      </x:c>
      <x:c r="AE62" s="9" t="n">
        <x:v>5</x:v>
      </x:c>
      <x:c r="AF62" s="9" t="str">
        <x:v>Medium</x:v>
      </x:c>
      <x:c r="AG62" s="9" t="n">
        <x:v>2</x:v>
      </x:c>
      <x:c r="AH62" s="9" t="str">
        <x:v>Medium</x:v>
      </x:c>
      <x:c r="AI62" s="9" t="n">
        <x:v>2</x:v>
      </x:c>
      <x:c r="AJ62" s="9" t="str">
        <x:v>Low</x:v>
      </x:c>
      <x:c r="AK62" s="13" t="n">
        <x:f>(N62*15+I62*15+Y62*15+AI62*15+AG62*15+W62*15+AE62*10)*20/(15*COUNT(N62,I62,Y62,AI62,AG62,W62)+10*COUNT(AE62))</x:f>
        <x:v>62.5</x:v>
      </x:c>
      <x:c r="AL62" s="13" t="n">
        <x:f>(Q62*15+I62*15+Y62*15+AI62*15+AG62*15+X62*15+AE62*10)*20/(15*COUNT(Q62,I62,Y62,AI62,AG62,X62)+10*COUNT(AE62))</x:f>
        <x:v>65.5</x:v>
      </x:c>
      <x:c r="AM62" s="13" t="n">
        <x:f>(N62+I62+Y62+AI62+AG62)*15/COUNT(N62,I62,Y62,AI62,AG62)</x:f>
        <x:v>45</x:v>
      </x:c>
      <x:c r="AN62" s="13" t="n">
        <x:f>(Q62+I62+Y62+AI62+AG62)*15/COUNT(Q62,I62,Y62,AI62,AG62)</x:f>
        <x:v>45</x:v>
      </x:c>
      <x:c r="AO62" s="9" t="n">
        <x:f>IF(I62=1,1,0)+IF(Y62=1,1,0)+IF(AI62=1,1,0)+IF(AG62=1,1,0)</x:f>
        <x:v>0</x:v>
      </x:c>
      <x:c r="AP62" s="14" t="n">
        <x:f>(IF(M62="High",3,IF(M62="Medium",2,1))+IF(J62="High",3,IF(J62="Medium",2,1))+IF(Z62="High",3,IF(Z62="Medium",2,1))+IF(AF62="High",3,IF(AF62="Medium",2,1))+IF(AH62="High",3,IF(AH62="Medium",2,1))+IF(AJ62="High",3,IF(AJ62="Medium",2,1))+2)/7</x:f>
        <x:v>2.142857142857143</x:v>
      </x:c>
      <x:c r="AQ62" s="14" t="n">
        <x:f>(IF(P62="High",3,IF(P62="Medium",2,1))+IF(J62="High",3,IF(J62="Medium",2,1))+IF(Z62="High",3,IF(Z62="Medium",2,1))+IF(AF62="High",3,IF(AF62="Medium",2,1))+IF(AH62="High",3,IF(AH62="Medium",2,1))+IF(AJ62="High",3,IF(AJ62="Medium",2,1))+2)/7</x:f>
        <x:v>2</x:v>
      </x:c>
      <x:c r="AR62" s="9" t="n">
        <x:f>IF(N62="",1,0)+IF(I62="",1,0)+IF(Y62="",1,0)+IF(AI62="",1,0)+IF(AG62="",1,0)+IF(W62="",1,0)+IF(AE62="",1,0)</x:f>
        <x:v>0</x:v>
      </x:c>
      <x:c r="AS62" s="9" t="n">
        <x:f>IF(Q62="",1,0)+IF(I62="",1,0)+IF(Y62="",1,0)+IF(AI62="",1,0)+IF(AG62="",1,0)+IF(X62="",1,0)+IF(AE62="",1,0)</x:f>
        <x:v>0</x:v>
      </x:c>
      <x:c r="AT62" s="9" t="n">
        <x:v>36</x:v>
      </x:c>
      <x:c r="AU62" s="9" t="n">
        <x:v>26</x:v>
      </x:c>
      <x:c r="AV62" s="9" t="str">
        <x:v>Not proposed</x:v>
      </x:c>
      <x:c r="AW62" s="9" t="str"/>
    </x:row>
    <x:row r="63">
      <x:c r="A63" s="9" t="str">
        <x:v>Worcester</x:v>
      </x:c>
      <x:c r="B63" s="9" t="str">
        <x:v>England</x:v>
      </x:c>
      <x:c r="C63" s="9" t="str">
        <x:v>Worcester</x:v>
      </x:c>
      <x:c r="D63" s="12" t="n">
        <x:v>52.192932</x:v>
      </x:c>
      <x:c r="E63" s="12" t="n">
        <x:v>-2.221088</x:v>
      </x:c>
      <x:c r="F63" s="9" t="n">
        <x:v>2289</x:v>
      </x:c>
      <x:c r="G63" s="9" t="n">
        <x:v>935</x:v>
      </x:c>
      <x:c r="H63" s="9" t="str">
        <x:v>data.police.uk street-crime records within 1 mile of Postcodes.io place centroid</x:v>
      </x:c>
      <x:c r="I63" s="9" t="n">
        <x:v>4</x:v>
      </x:c>
      <x:c r="J63" s="9" t="str">
        <x:v>Medium</x:v>
      </x:c>
      <x:c r="K63" s="10" t="n">
        <x:v>145500</x:v>
      </x:c>
      <x:c r="L63" s="9" t="n">
        <x:v>466</x:v>
      </x:c>
      <x:c r="M63" s="9" t="str">
        <x:v>High</x:v>
      </x:c>
      <x:c r="N63" s="9" t="n">
        <x:f>IF(K63&lt;='Methodology'!$B$15,5,IF(K63&gt;='Methodology'!$B$16,1,3))</x:f>
        <x:v>1</x:v>
      </x:c>
      <x:c r="O63" s="10" t="n">
        <x:v>709</x:v>
      </x:c>
      <x:c r="P63" s="9" t="str">
        <x:v>Medium</x:v>
      </x:c>
      <x:c r="Q63" s="9" t="n">
        <x:f>IF(O63&lt;='Methodology'!$B$17,5,IF(O63&gt;='Methodology'!$B$18,1,3))</x:f>
        <x:v>1</x:v>
      </x:c>
      <x:c r="R63" s="9" t="n">
        <x:v>52</x:v>
      </x:c>
      <x:c r="S63" s="9" t="n">
        <x:v>52</x:v>
      </x:c>
      <x:c r="T63" s="9" t="str">
        <x:v>Unclear</x:v>
      </x:c>
      <x:c r="U63" s="9" t="n">
        <x:v>3</x:v>
      </x:c>
      <x:c r="V63" s="9" t="n">
        <x:v>3</x:v>
      </x:c>
      <x:c r="W63" s="13" t="n">
        <x:f>MAX(1,MIN(5,U63+IF(T63="Known",0.5,IF(T63="Likely",0,-0.5))))</x:f>
        <x:v>2.5</x:v>
      </x:c>
      <x:c r="X63" s="13" t="n">
        <x:f>MAX(1,MIN(5,V63+IF(T63="Known",0.5,IF(T63="Likely",0,-0.5))))</x:f>
        <x:v>2.5</x:v>
      </x:c>
      <x:c r="Y63" s="9" t="n">
        <x:v>3</x:v>
      </x:c>
      <x:c r="Z63" s="9" t="str">
        <x:v>Medium</x:v>
      </x:c>
      <x:c r="AA63" s="9" t="n">
        <x:v>125</x:v>
      </x:c>
      <x:c r="AB63" s="9" t="n">
        <x:v>0</x:v>
      </x:c>
      <x:c r="AC63" s="9" t="n">
        <x:v>45</x:v>
      </x:c>
      <x:c r="AD63" s="9" t="n">
        <x:v>0</x:v>
      </x:c>
      <x:c r="AE63" s="9" t="n">
        <x:v>4</x:v>
      </x:c>
      <x:c r="AF63" s="9" t="str">
        <x:v>Low</x:v>
      </x:c>
      <x:c r="AG63" s="9" t="n">
        <x:v>4</x:v>
      </x:c>
      <x:c r="AH63" s="9" t="str">
        <x:v>Medium</x:v>
      </x:c>
      <x:c r="AI63" s="9" t="n">
        <x:v>5</x:v>
      </x:c>
      <x:c r="AJ63" s="9" t="str">
        <x:v>Medium</x:v>
      </x:c>
      <x:c r="AK63" s="13" t="n">
        <x:f>(N63*15+I63*15+Y63*15+AI63*15+AG63*15+W63*15+AE63*10)*20/(15*COUNT(N63,I63,Y63,AI63,AG63,W63)+10*COUNT(AE63))</x:f>
        <x:v>66.5</x:v>
      </x:c>
      <x:c r="AL63" s="13" t="n">
        <x:f>(Q63*15+I63*15+Y63*15+AI63*15+AG63*15+X63*15+AE63*10)*20/(15*COUNT(Q63,I63,Y63,AI63,AG63,X63)+10*COUNT(AE63))</x:f>
        <x:v>66.5</x:v>
      </x:c>
      <x:c r="AM63" s="13" t="n">
        <x:f>(N63+I63+Y63+AI63+AG63)*15/COUNT(N63,I63,Y63,AI63,AG63)</x:f>
        <x:v>51</x:v>
      </x:c>
      <x:c r="AN63" s="13" t="n">
        <x:f>(Q63+I63+Y63+AI63+AG63)*15/COUNT(Q63,I63,Y63,AI63,AG63)</x:f>
        <x:v>51</x:v>
      </x:c>
      <x:c r="AO63" s="9" t="n">
        <x:f>IF(I63=1,1,0)+IF(Y63=1,1,0)+IF(AI63=1,1,0)+IF(AG63=1,1,0)</x:f>
        <x:v>0</x:v>
      </x:c>
      <x:c r="AP63" s="14" t="n">
        <x:f>(IF(M63="High",3,IF(M63="Medium",2,1))+IF(J63="High",3,IF(J63="Medium",2,1))+IF(Z63="High",3,IF(Z63="Medium",2,1))+IF(AF63="High",3,IF(AF63="Medium",2,1))+IF(AH63="High",3,IF(AH63="Medium",2,1))+IF(AJ63="High",3,IF(AJ63="Medium",2,1))+2)/7</x:f>
        <x:v>2</x:v>
      </x:c>
      <x:c r="AQ63" s="14" t="n">
        <x:f>(IF(P63="High",3,IF(P63="Medium",2,1))+IF(J63="High",3,IF(J63="Medium",2,1))+IF(Z63="High",3,IF(Z63="Medium",2,1))+IF(AF63="High",3,IF(AF63="Medium",2,1))+IF(AH63="High",3,IF(AH63="Medium",2,1))+IF(AJ63="High",3,IF(AJ63="Medium",2,1))+2)/7</x:f>
        <x:v>1.8571428571428572</x:v>
      </x:c>
      <x:c r="AR63" s="9" t="n">
        <x:f>IF(N63="",1,0)+IF(I63="",1,0)+IF(Y63="",1,0)+IF(AI63="",1,0)+IF(AG63="",1,0)+IF(W63="",1,0)+IF(AE63="",1,0)</x:f>
        <x:v>0</x:v>
      </x:c>
      <x:c r="AS63" s="9" t="n">
        <x:f>IF(Q63="",1,0)+IF(I63="",1,0)+IF(Y63="",1,0)+IF(AI63="",1,0)+IF(AG63="",1,0)+IF(X63="",1,0)+IF(AE63="",1,0)</x:f>
        <x:v>0</x:v>
      </x:c>
      <x:c r="AT63" s="9" t="n">
        <x:v>12</x:v>
      </x:c>
      <x:c r="AU63" s="9" t="n">
        <x:v>14</x:v>
      </x:c>
      <x:c r="AV63" s="9" t="str">
        <x:v>Proposed</x:v>
      </x:c>
      <x:c r="AW63" s="9" t="str">
        <x:v>Buy</x:v>
      </x:c>
    </x:row>
    <x:row r="64">
      <x:c r="A64" s="9" t="str">
        <x:v>Wrexham</x:v>
      </x:c>
      <x:c r="B64" s="9" t="str">
        <x:v>Wales</x:v>
      </x:c>
      <x:c r="C64" s="9" t="str">
        <x:v>Wrexham</x:v>
      </x:c>
      <x:c r="D64" s="12" t="n">
        <x:v>53.047921</x:v>
      </x:c>
      <x:c r="E64" s="12" t="n">
        <x:v>-2.994781</x:v>
      </x:c>
      <x:c r="F64" s="9" t="n">
        <x:v>2095</x:v>
      </x:c>
      <x:c r="G64" s="9" t="n">
        <x:v>936</x:v>
      </x:c>
      <x:c r="H64" s="9" t="str">
        <x:v>data.police.uk street-crime records within 1 mile of Postcodes.io place centroid</x:v>
      </x:c>
      <x:c r="I64" s="9" t="n">
        <x:v>4</x:v>
      </x:c>
      <x:c r="J64" s="9" t="str">
        <x:v>Medium</x:v>
      </x:c>
      <x:c r="K64" s="10" t="n">
        <x:v>112500</x:v>
      </x:c>
      <x:c r="L64" s="9" t="n">
        <x:v>186</x:v>
      </x:c>
      <x:c r="M64" s="9" t="str">
        <x:v>High</x:v>
      </x:c>
      <x:c r="N64" s="9" t="n">
        <x:f>IF(K64&lt;='Methodology'!$B$15,5,IF(K64&gt;='Methodology'!$B$16,1,3))</x:f>
        <x:v>3</x:v>
      </x:c>
      <x:c r="O64" s="10" t="n">
        <x:v>594</x:v>
      </x:c>
      <x:c r="P64" s="9" t="str">
        <x:v>Medium</x:v>
      </x:c>
      <x:c r="Q64" s="9" t="n">
        <x:f>IF(O64&lt;='Methodology'!$B$17,5,IF(O64&gt;='Methodology'!$B$18,1,3))</x:f>
        <x:v>3</x:v>
      </x:c>
      <x:c r="R64" s="9" t="n">
        <x:v>3</x:v>
      </x:c>
      <x:c r="S64" s="9" t="n">
        <x:v>11</x:v>
      </x:c>
      <x:c r="T64" s="9" t="str">
        <x:v>Unclear</x:v>
      </x:c>
      <x:c r="U64" s="9" t="n">
        <x:v>1</x:v>
      </x:c>
      <x:c r="V64" s="9" t="n">
        <x:v>2</x:v>
      </x:c>
      <x:c r="W64" s="13" t="n">
        <x:f>MAX(1,MIN(5,U64+IF(T64="Known",0.5,IF(T64="Likely",0,-0.5))))</x:f>
        <x:v>1</x:v>
      </x:c>
      <x:c r="X64" s="13" t="n">
        <x:f>MAX(1,MIN(5,V64+IF(T64="Known",0.5,IF(T64="Likely",0,-0.5))))</x:f>
        <x:v>1.5</x:v>
      </x:c>
      <x:c r="Y64" s="9" t="n">
        <x:v>3</x:v>
      </x:c>
      <x:c r="Z64" s="9" t="str">
        <x:v>High</x:v>
      </x:c>
      <x:c r="AA64" s="9" t="n">
        <x:v>140</x:v>
      </x:c>
      <x:c r="AB64" s="9" t="n">
        <x:v>1</x:v>
      </x:c>
      <x:c r="AC64" s="9" t="n">
        <x:v>75</x:v>
      </x:c>
      <x:c r="AD64" s="9" t="n">
        <x:v>1</x:v>
      </x:c>
      <x:c r="AE64" s="9" t="n">
        <x:v>4</x:v>
      </x:c>
      <x:c r="AF64" s="9" t="str">
        <x:v>Medium</x:v>
      </x:c>
      <x:c r="AG64" s="9" t="n">
        <x:v>3</x:v>
      </x:c>
      <x:c r="AH64" s="9" t="str">
        <x:v>Medium</x:v>
      </x:c>
      <x:c r="AI64" s="9" t="n">
        <x:v>3</x:v>
      </x:c>
      <x:c r="AJ64" s="9" t="str">
        <x:v>Low</x:v>
      </x:c>
      <x:c r="AK64" s="13" t="n">
        <x:f>(N64*15+I64*15+Y64*15+AI64*15+AG64*15+W64*15+AE64*10)*20/(15*COUNT(N64,I64,Y64,AI64,AG64,W64)+10*COUNT(AE64))</x:f>
        <x:v>59</x:v>
      </x:c>
      <x:c r="AL64" s="13" t="n">
        <x:f>(Q64*15+I64*15+Y64*15+AI64*15+AG64*15+X64*15+AE64*10)*20/(15*COUNT(Q64,I64,Y64,AI64,AG64,X64)+10*COUNT(AE64))</x:f>
        <x:v>60.5</x:v>
      </x:c>
      <x:c r="AM64" s="13" t="n">
        <x:f>(N64+I64+Y64+AI64+AG64)*15/COUNT(N64,I64,Y64,AI64,AG64)</x:f>
        <x:v>48</x:v>
      </x:c>
      <x:c r="AN64" s="13" t="n">
        <x:f>(Q64+I64+Y64+AI64+AG64)*15/COUNT(Q64,I64,Y64,AI64,AG64)</x:f>
        <x:v>48</x:v>
      </x:c>
      <x:c r="AO64" s="9" t="n">
        <x:f>IF(I64=1,1,0)+IF(Y64=1,1,0)+IF(AI64=1,1,0)+IF(AG64=1,1,0)</x:f>
        <x:v>0</x:v>
      </x:c>
      <x:c r="AP64" s="14" t="n">
        <x:f>(IF(M64="High",3,IF(M64="Medium",2,1))+IF(J64="High",3,IF(J64="Medium",2,1))+IF(Z64="High",3,IF(Z64="Medium",2,1))+IF(AF64="High",3,IF(AF64="Medium",2,1))+IF(AH64="High",3,IF(AH64="Medium",2,1))+IF(AJ64="High",3,IF(AJ64="Medium",2,1))+2)/7</x:f>
        <x:v>2.142857142857143</x:v>
      </x:c>
      <x:c r="AQ64" s="14" t="n">
        <x:f>(IF(P64="High",3,IF(P64="Medium",2,1))+IF(J64="High",3,IF(J64="Medium",2,1))+IF(Z64="High",3,IF(Z64="Medium",2,1))+IF(AF64="High",3,IF(AF64="Medium",2,1))+IF(AH64="High",3,IF(AH64="Medium",2,1))+IF(AJ64="High",3,IF(AJ64="Medium",2,1))+2)/7</x:f>
        <x:v>2</x:v>
      </x:c>
      <x:c r="AR64" s="9" t="n">
        <x:f>IF(N64="",1,0)+IF(I64="",1,0)+IF(Y64="",1,0)+IF(AI64="",1,0)+IF(AG64="",1,0)+IF(W64="",1,0)+IF(AE64="",1,0)</x:f>
        <x:v>0</x:v>
      </x:c>
      <x:c r="AS64" s="9" t="n">
        <x:f>IF(Q64="",1,0)+IF(I64="",1,0)+IF(Y64="",1,0)+IF(AI64="",1,0)+IF(AG64="",1,0)+IF(X64="",1,0)+IF(AE64="",1,0)</x:f>
        <x:v>0</x:v>
      </x:c>
      <x:c r="AT64" s="9" t="n">
        <x:v>49</x:v>
      </x:c>
      <x:c r="AU64" s="9" t="n">
        <x:v>46</x:v>
      </x:c>
      <x:c r="AV64" s="9" t="str">
        <x:v>Not proposed</x:v>
      </x:c>
      <x:c r="AW64" s="9" t="str"/>
    </x:row>
  </x:sheetData>
  <x:conditionalFormatting sqref="AK2:AL64">
    <x:cfRule type="colorScale" priority="1">
      <x:colorScale>
        <x:cfvo type="min"/>
        <x:cfvo type="percentile" val="50"/>
        <x:cfvo type="max"/>
        <x:color rgb="FFB44B4B"/>
        <x:color rgb="FFF4E4A6"/>
        <x:color rgb="FF69A98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5f153e8486141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8" hidden="0" customWidth="1"/>
    <x:col min="11" max="11" width="48" hidden="0" customWidth="1"/>
    <x:col min="12" max="12" width="48" hidden="0" customWidth="1"/>
    <x:col min="13" max="13" width="48" hidden="0" customWidth="1"/>
    <x:col min="14" max="14" width="48" hidden="0" customWidth="1"/>
    <x:col min="15" max="15" width="48" hidden="0" customWidth="1"/>
  </x:cols>
  <x:sheetData>
    <x:row r="1" ht="34" customHeight="1">
      <x:c r="A1" s="7" t="str">
        <x:v>Location</x:v>
      </x:c>
      <x:c r="B1" s="7" t="str">
        <x:v>Safety reason</x:v>
      </x:c>
      <x:c r="C1" s="7" t="str">
        <x:v>Buy reason</x:v>
      </x:c>
      <x:c r="D1" s="7" t="str">
        <x:v>Rent reason</x:v>
      </x:c>
      <x:c r="E1" s="7" t="str">
        <x:v>Market reason</x:v>
      </x:c>
      <x:c r="F1" s="7" t="str">
        <x:v>Local transport reason</x:v>
      </x:c>
      <x:c r="G1" s="7" t="str">
        <x:v>National transport reason</x:v>
      </x:c>
      <x:c r="H1" s="7" t="str">
        <x:v>Quiet reason</x:v>
      </x:c>
      <x:c r="I1" s="7" t="str">
        <x:v>Condition reason</x:v>
      </x:c>
      <x:c r="J1" s="7" t="str">
        <x:v>Crime sources</x:v>
      </x:c>
      <x:c r="K1" s="7" t="str">
        <x:v>Buy sources</x:v>
      </x:c>
      <x:c r="L1" s="7" t="str">
        <x:v>Rent sources</x:v>
      </x:c>
      <x:c r="M1" s="7" t="str">
        <x:v>Market sources</x:v>
      </x:c>
      <x:c r="N1" s="7" t="str">
        <x:v>Transport sources</x:v>
      </x:c>
      <x:c r="O1" s="7" t="str">
        <x:v>Environment sources</x:v>
      </x:c>
    </x:row>
    <x:row r="2">
      <x:c r="A2" s="9" t="str">
        <x:v>Barnsley</x:v>
      </x:c>
      <x:c r="B2" s="9" t="str">
        <x:v>Identical-radius centre proxy: 2047 violence/sexual-offence and 851 ASB records in 12 months; relative composite places it in screening band 4/5, but this is not a population-normalised town or neighbourhood rate.</x:v>
      </x:c>
      <x:c r="C2" s="9" t="str">
        <x:v>Median of 214 achieved standard flat/maisonette sales; this is an all-size flat screening proxy, not a one-bedroom estimate.</x:v>
      </x:c>
      <x:c r="D2" s="9" t="str">
        <x:v>Official one-bedroom modelled average for Barnsley LA; underlying observation count is not published in the table.</x:v>
      </x:c>
      <x:c r="E2" s="9" t="str">
        <x:v>Rightmove's filtered snapshot returned 25 sale and 21 rental results; these are portal headline counts, not deduplicated properties, and the query does not verify tower stock.</x:v>
      </x:c>
      <x:c r="F2" s="9" t="str">
        <x:v>Broad screen indicates basic bus and rail coverage with less network depth; this is a town-level judgement, not a neighbourhood accessibility audit.</x:v>
      </x:c>
      <x:c r="G2" s="9" t="str">
        <x:v>Approximate representative faster weekday journey from Barnsley: London 145 min (1 change), Birmingham 105 min (1 change); recheck against the exact travel date.</x:v>
      </x:c>
      <x:c r="H2" s="9" t="str">
        <x:v>Major radial roads, rail and nearby M1 create exposed corridors, but this is a mixed town-wide noise screen.</x:v>
      </x:c>
      <x:c r="I2" s="9" t="str">
        <x:v>Industrial legacy and uneven renewal make the overall fabric less consistently cared-for; this is a coarse judgement.</x:v>
      </x:c>
      <x:c r="J2" s="9" t="str">
        <x:v>https://api.postcodes.io/places?q=Barnsley | https://api.postcodes.io/postcodes?lon=-1.482593&amp;lat=53.553523&amp;limit=1&amp;radius=2000 | https://data.police.uk/api/crimes-street/all-crime?lat=53.553523&amp;lng=-1.482593&amp;date=2026-07 | https://data.police.uk/docs/method/crime-street/</x:v>
      </x:c>
      <x:c r="K2" s="9" t="str">
        <x:v>https://www.gov.uk/government/statistical-data-sets/price-paid-data-downloads</x:v>
      </x:c>
      <x:c r="L2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2" s="9" t="str">
        <x:v>https://www.rightmove.co.uk/property-for-sale/find.html?locationIdentifier=REGION%5E108&amp;minBedrooms=1&amp;maxBedrooms=1&amp;propertyTypes=flat&amp;includeSSTC=false&amp;mustHave=&amp;dontShow=retirement%2CsharedOwnership&amp;furnishTypes=&amp;keywords= | https://www.rightmove.co.uk/property-to-rent/find.html?locationIdentifier=REGION%5E108&amp;minBedrooms=1&amp;maxBedrooms=1&amp;propertyTypes=flat&amp;includeSSTC=true&amp;mustHave=&amp;dontShow=houseShare%2Cretirement&amp;furnishTypes=&amp;keywords= | https://los.rightmove.co.uk/typeahead?query=Barnsley</x:v>
      </x:c>
      <x:c r="N2" s="9" t="str">
        <x:v>https://www.nationalrail.co.uk/journey-planner/ | https://www.traveline.info/ | https://www.travelsouthyorkshire.com/</x:v>
      </x:c>
      <x:c r="O2" s="9" t="str">
        <x:v>https://www.gov.uk/government/publications/strategic-noise-mapping-2022/explaining-the-2022-noise-maps | https://www.gov.uk/government/statistics/english-indices-of-deprivation-2025 | https://www.openstreetmap.org/search?query=Barnsley%2C%20UK</x:v>
      </x:c>
    </x:row>
    <x:row r="3">
      <x:c r="A3" s="9" t="str">
        <x:v>Birmingham</x:v>
      </x:c>
      <x:c r="B3" s="9" t="str">
        <x:v>Identical-radius centre proxy: 7628 violence/sexual-offence and 985 ASB records in 12 months; relative composite places it in screening band 2/5, but this is not a population-normalised town or neighbourhood rate.</x:v>
      </x:c>
      <x:c r="C3" s="9" t="str">
        <x:v>Median of 3183 achieved standard flat/maisonette sales; this is an all-size flat screening proxy, not a one-bedroom estimate.</x:v>
      </x:c>
      <x:c r="D3" s="9" t="str">
        <x:v>Official one-bedroom modelled average for Birmingham LA; underlying observation count is not published in the table.</x:v>
      </x:c>
      <x:c r="E3" s="9" t="str">
        <x:v>Rightmove's filtered snapshot returned 854 sale and 1257 rental results; these are portal headline counts, not deduplicated properties, and the query does not verify tower stock.</x:v>
      </x:c>
      <x:c r="F3" s="9" t="str">
        <x:v>Broad screen indicates a dense multimodal network; this is a town-level judgement, not a neighbourhood accessibility audit.</x:v>
      </x:c>
      <x:c r="G3" s="9" t="str">
        <x:v>Approximate representative faster weekday journey from Birmingham New Street: London 82 min (0 changes), Birmingham 0 min (0 changes); recheck against the exact travel date.</x:v>
      </x:c>
      <x:c r="H3" s="9" t="str">
        <x:v>Dense road and rail corridors, airport influence and a large nightlife core make persistent noise exposure comparatively likely.</x:v>
      </x:c>
      <x:c r="I3" s="9" t="str">
        <x:v>Major renewed central districts coexist with extensive uneven and deprived urban fabric, producing a mixed city-wide judgement.</x:v>
      </x:c>
      <x:c r="J3" s="9" t="str">
        <x:v>https://api.postcodes.io/places?q=Birmingham | https://api.postcodes.io/postcodes?lon=-1.902941&amp;lat=52.479284&amp;limit=1&amp;radius=2000 | https://data.police.uk/api/crimes-street/all-crime?lat=52.479284&amp;lng=-1.902941&amp;date=2026-07 | https://data.police.uk/docs/method/crime-street/</x:v>
      </x:c>
      <x:c r="K3" s="9" t="str">
        <x:v>https://www.gov.uk/government/statistical-data-sets/price-paid-data-downloads</x:v>
      </x:c>
      <x:c r="L3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3" s="9" t="str">
        <x:v>https://www.rightmove.co.uk/property-for-sale/find.html?locationIdentifier=REGION%5E162&amp;minBedrooms=1&amp;maxBedrooms=1&amp;propertyTypes=flat&amp;includeSSTC=false&amp;mustHave=&amp;dontShow=retirement%2CsharedOwnership&amp;furnishTypes=&amp;keywords= | https://www.rightmove.co.uk/property-to-rent/find.html?locationIdentifier=REGION%5E162&amp;minBedrooms=1&amp;maxBedrooms=1&amp;propertyTypes=flat&amp;includeSSTC=true&amp;mustHave=&amp;dontShow=houseShare%2Cretirement&amp;furnishTypes=&amp;keywords= | https://los.rightmove.co.uk/typeahead?query=Birmingham</x:v>
      </x:c>
      <x:c r="N3" s="9" t="str">
        <x:v>https://www.nationalrail.co.uk/journey-planner/ | https://www.traveline.info/ | https://www.tfwm.org.uk/</x:v>
      </x:c>
      <x:c r="O3" s="9" t="str">
        <x:v>https://www.gov.uk/government/publications/strategic-noise-mapping-2022/explaining-the-2022-noise-maps | https://www.gov.uk/government/statistics/english-indices-of-deprivation-2025 | https://www.openstreetmap.org/search?query=Birmingham%2C%20UK</x:v>
      </x:c>
    </x:row>
    <x:row r="4">
      <x:c r="A4" s="9" t="str">
        <x:v>Blackburn</x:v>
      </x:c>
      <x:c r="B4" s="9" t="str">
        <x:v>Identical-radius centre proxy: 2399 violence/sexual-offence and 1597 ASB records in 12 months; relative composite places it in screening band 3/5, but this is not a population-normalised town or neighbourhood rate.</x:v>
      </x:c>
      <x:c r="C4" s="9" t="str">
        <x:v>Median of 141 achieved standard flat/maisonette sales; this is an all-size flat screening proxy, not a one-bedroom estimate.</x:v>
      </x:c>
      <x:c r="D4" s="9" t="str">
        <x:v>Official one-bedroom modelled average for Blackburn with Darwen LA; underlying observation count is not published in the table and the LA is broader than the named town.</x:v>
      </x:c>
      <x:c r="E4" s="9" t="str">
        <x:v>Rightmove's filtered snapshot returned 8 sale and 2 rental results; these are portal headline counts, not deduplicated properties, and the query does not verify tower stock.</x:v>
      </x:c>
      <x:c r="F4" s="9" t="str">
        <x:v>Broad screen indicates basic bus and rail coverage with less network depth; this is a town-level judgement, not a neighbourhood accessibility audit.</x:v>
      </x:c>
      <x:c r="G4" s="9" t="str">
        <x:v>Approximate representative faster weekday journey from Blackburn: London 170 min (1 change), Birmingham 135 min (1 change); recheck against the exact travel date.</x:v>
      </x:c>
      <x:c r="H4" s="9" t="str">
        <x:v>The M65, arterial roads and rail create noisy corridors, while much of the wider urban area is less intensively active.</x:v>
      </x:c>
      <x:c r="I4" s="9" t="str">
        <x:v>Strong heritage assets are offset by visibly uneven town-centre and industrial-era fabric in this broad proxy assessment.</x:v>
      </x:c>
      <x:c r="J4" s="9" t="str">
        <x:v>https://api.postcodes.io/places?q=Blackburn | https://api.postcodes.io/postcodes?lon=-2.481528&amp;lat=53.750073&amp;limit=1&amp;radius=2000 | https://data.police.uk/api/crimes-street/all-crime?lat=53.750073&amp;lng=-2.481528&amp;date=2026-07 | https://data.police.uk/docs/method/crime-street/</x:v>
      </x:c>
      <x:c r="K4" s="9" t="str">
        <x:v>https://www.gov.uk/government/statistical-data-sets/price-paid-data-downloads</x:v>
      </x:c>
      <x:c r="L4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4" s="9" t="str">
        <x:v>https://www.rightmove.co.uk/property-for-sale/find.html?locationIdentifier=REGION%5E167&amp;minBedrooms=1&amp;maxBedrooms=1&amp;propertyTypes=flat&amp;includeSSTC=false&amp;mustHave=&amp;dontShow=retirement%2CsharedOwnership&amp;furnishTypes=&amp;keywords= | https://www.rightmove.co.uk/property-to-rent/find.html?locationIdentifier=REGION%5E167&amp;minBedrooms=1&amp;maxBedrooms=1&amp;propertyTypes=flat&amp;includeSSTC=true&amp;mustHave=&amp;dontShow=houseShare%2Cretirement&amp;furnishTypes=&amp;keywords= | https://los.rightmove.co.uk/typeahead?query=Blackburn</x:v>
      </x:c>
      <x:c r="N4" s="9" t="str">
        <x:v>https://www.nationalrail.co.uk/journey-planner/ | https://www.traveline.info/</x:v>
      </x:c>
      <x:c r="O4" s="9" t="str">
        <x:v>https://www.gov.uk/government/publications/strategic-noise-mapping-2022/explaining-the-2022-noise-maps | https://www.gov.uk/government/statistics/english-indices-of-deprivation-2025 | https://www.openstreetmap.org/search?query=Blackburn%2C%20UK</x:v>
      </x:c>
    </x:row>
    <x:row r="5">
      <x:c r="A5" s="9" t="str">
        <x:v>Blackpool</x:v>
      </x:c>
      <x:c r="B5" s="9" t="str">
        <x:v>Identical-radius centre proxy: 5053 violence/sexual-offence and 2641 ASB records in 12 months; relative composite places it in screening band 1/5, but this is not a population-normalised town or neighbourhood rate.</x:v>
      </x:c>
      <x:c r="C5" s="9" t="str">
        <x:v>Median of 297 achieved standard flat/maisonette sales; this is an all-size flat screening proxy, not a one-bedroom estimate.</x:v>
      </x:c>
      <x:c r="D5" s="9" t="str">
        <x:v>Official one-bedroom modelled average for Blackpool LA; underlying observation count is not published in the table.</x:v>
      </x:c>
      <x:c r="E5" s="9" t="str">
        <x:v>Rightmove's filtered snapshot returned 77 sale and 75 rental results; these are portal headline counts, not deduplicated properties, and the query does not verify tower stock.</x:v>
      </x:c>
      <x:c r="F5" s="9" t="str">
        <x:v>Broad screen indicates a useful town/city bus-and-rail network; this is a town-level judgement, not a neighbourhood accessibility audit.</x:v>
      </x:c>
      <x:c r="G5" s="9" t="str">
        <x:v>Approximate representative faster weekday journey from Blackpool North: London 185 min (1 change), Birmingham 130 min (1 change); recheck against the exact travel date.</x:v>
      </x:c>
      <x:c r="H5" s="9" t="str">
        <x:v>Visitor traffic, entertainment/nightlife and the promenade corridor raise evening and seasonal noise risk.</x:v>
      </x:c>
      <x:c r="I5" s="9" t="str">
        <x:v>Distinctive resort heritage is offset by concentrated deprivation and uneven upkeep, so pleasantness is not consistent town-wide.</x:v>
      </x:c>
      <x:c r="J5" s="9" t="str">
        <x:v>https://api.postcodes.io/places?q=Blackpool | https://api.postcodes.io/postcodes?lon=-3.051542&amp;lat=53.820860&amp;limit=1&amp;radius=2000 | https://data.police.uk/api/crimes-street/all-crime?lat=53.820860&amp;lng=-3.051542&amp;date=2026-07 | https://data.police.uk/docs/method/crime-street/</x:v>
      </x:c>
      <x:c r="K5" s="9" t="str">
        <x:v>https://www.gov.uk/government/statistical-data-sets/price-paid-data-downloads</x:v>
      </x:c>
      <x:c r="L5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5" s="9" t="str">
        <x:v>https://www.rightmove.co.uk/property-for-sale/find.html?locationIdentifier=REGION%5E168&amp;minBedrooms=1&amp;maxBedrooms=1&amp;propertyTypes=flat&amp;includeSSTC=false&amp;mustHave=&amp;dontShow=retirement%2CsharedOwnership&amp;furnishTypes=&amp;keywords= | https://www.rightmove.co.uk/property-to-rent/find.html?locationIdentifier=REGION%5E168&amp;minBedrooms=1&amp;maxBedrooms=1&amp;propertyTypes=flat&amp;includeSSTC=true&amp;mustHave=&amp;dontShow=houseShare%2Cretirement&amp;furnishTypes=&amp;keywords= | https://los.rightmove.co.uk/typeahead?query=Blackpool</x:v>
      </x:c>
      <x:c r="N5" s="9" t="str">
        <x:v>https://www.nationalrail.co.uk/journey-planner/ | https://www.traveline.info/ | https://www.blackpooltransport.com/</x:v>
      </x:c>
      <x:c r="O5" s="9" t="str">
        <x:v>https://www.gov.uk/government/publications/strategic-noise-mapping-2022/explaining-the-2022-noise-maps | https://www.gov.uk/government/statistics/english-indices-of-deprivation-2025 | https://www.openstreetmap.org/search?query=Blackpool%2C%20UK</x:v>
      </x:c>
    </x:row>
    <x:row r="6">
      <x:c r="A6" s="9" t="str">
        <x:v>Bolton</x:v>
      </x:c>
      <x:c r="B6" s="9" t="str">
        <x:v>Unknown: Greater Manchester Police crime data are unavailable on Police.uk; sparse point-query returns are cross-force records and cannot support a comparable indicator.</x:v>
      </x:c>
      <x:c r="C6" s="9" t="str">
        <x:v>Median of 493 achieved standard flat/maisonette sales; this is an all-size flat screening proxy, not a one-bedroom estimate.</x:v>
      </x:c>
      <x:c r="D6" s="9" t="str">
        <x:v>Official one-bedroom modelled average for Bolton LA; underlying observation count is not published in the table.</x:v>
      </x:c>
      <x:c r="E6" s="9" t="str">
        <x:v>Rightmove's filtered snapshot returned 64 sale and 78 rental results; these are portal headline counts, not deduplicated properties, and the query does not verify tower stock.</x:v>
      </x:c>
      <x:c r="F6" s="9" t="str">
        <x:v>Broad screen indicates a useful town/city bus-and-rail network; this is a town-level judgement, not a neighbourhood accessibility audit.</x:v>
      </x:c>
      <x:c r="G6" s="9" t="str">
        <x:v>Approximate representative faster weekday journey from Bolton: London 155 min (1 change), Birmingham 110 min (1 change); recheck against the exact travel date.</x:v>
      </x:c>
      <x:c r="H6" s="9" t="str">
        <x:v>M61 access, busy radial roads and rail create local noise pressure, with quieter residential parts away from them.</x:v>
      </x:c>
      <x:c r="I6" s="9" t="str">
        <x:v>Civic and heritage pockets coexist with substantial deprived and uneven post-industrial fabric.</x:v>
      </x:c>
      <x:c r="J6" s="9" t="str">
        <x:v>https://api.postcodes.io/places?q=Bolton | https://api.postcodes.io/postcodes?lon=-2.431041&amp;lat=53.577709&amp;limit=1&amp;radius=2000 | https://data.police.uk/api/crimes-street/all-crime?lat=53.577709&amp;lng=-2.431041&amp;date=2026-07 | https://data.police.uk/docs/method/crime-street/ | https://data.police.uk/changelog/</x:v>
      </x:c>
      <x:c r="K6" s="9" t="str">
        <x:v>https://www.gov.uk/government/statistical-data-sets/price-paid-data-downloads</x:v>
      </x:c>
      <x:c r="L6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6" s="9" t="str">
        <x:v>https://www.rightmove.co.uk/property-for-sale/find.html?locationIdentifier=REGION%5E182&amp;minBedrooms=1&amp;maxBedrooms=1&amp;propertyTypes=flat&amp;includeSSTC=false&amp;mustHave=&amp;dontShow=retirement%2CsharedOwnership&amp;furnishTypes=&amp;keywords= | https://www.rightmove.co.uk/property-to-rent/find.html?locationIdentifier=REGION%5E182&amp;minBedrooms=1&amp;maxBedrooms=1&amp;propertyTypes=flat&amp;includeSSTC=true&amp;mustHave=&amp;dontShow=houseShare%2Cretirement&amp;furnishTypes=&amp;keywords= | https://los.rightmove.co.uk/typeahead?query=Bolton</x:v>
      </x:c>
      <x:c r="N6" s="9" t="str">
        <x:v>https://www.nationalrail.co.uk/journey-planner/ | https://www.traveline.info/ | https://tfgm.com/</x:v>
      </x:c>
      <x:c r="O6" s="9" t="str">
        <x:v>https://www.gov.uk/government/publications/strategic-noise-mapping-2022/explaining-the-2022-noise-maps | https://www.gov.uk/government/statistics/english-indices-of-deprivation-2025 | https://www.openstreetmap.org/search?query=Bolton%2C%20UK</x:v>
      </x:c>
    </x:row>
    <x:row r="7">
      <x:c r="A7" s="9" t="str">
        <x:v>Bradford</x:v>
      </x:c>
      <x:c r="B7" s="9" t="str">
        <x:v>Identical-radius centre proxy: 5287 violence/sexual-offence and 978 ASB records in 12 months; relative composite places it in screening band 2/5, but this is not a population-normalised town or neighbourhood rate.</x:v>
      </x:c>
      <x:c r="C7" s="9" t="str">
        <x:v>Median of 453 achieved standard flat/maisonette sales; this is an all-size flat screening proxy, not a one-bedroom estimate.</x:v>
      </x:c>
      <x:c r="D7" s="9" t="str">
        <x:v>Official one-bedroom modelled average for Bradford LA; underlying observation count is not published in the table.</x:v>
      </x:c>
      <x:c r="E7" s="9" t="str">
        <x:v>Rightmove's filtered snapshot returned 76 sale and 91 rental results; these are portal headline counts, not deduplicated properties, and the query does not verify tower stock.</x:v>
      </x:c>
      <x:c r="F7" s="9" t="str">
        <x:v>Broad screen indicates a useful town/city bus-and-rail network; this is a town-level judgement, not a neighbourhood accessibility audit.</x:v>
      </x:c>
      <x:c r="G7" s="9" t="str">
        <x:v>Approximate representative faster weekday journey from Bradford Interchange: London 170 min (1 change), Birmingham 145 min (1 change); recheck against the exact travel date.</x:v>
      </x:c>
      <x:c r="H7" s="9" t="str">
        <x:v>Dense radial traffic, rail corridors, industry and a sizeable nightlife centre make quietness inconsistent.</x:v>
      </x:c>
      <x:c r="I7" s="9" t="str">
        <x:v>High-quality historic architecture is offset by vacancy, deprivation and uneven upkeep across the built-up area.</x:v>
      </x:c>
      <x:c r="J7" s="9" t="str">
        <x:v>https://api.postcodes.io/places?q=Bradford | https://api.postcodes.io/postcodes?lon=-1.754561&amp;lat=53.790778&amp;limit=1&amp;radius=2000 | https://data.police.uk/api/crimes-street/all-crime?lat=53.790778&amp;lng=-1.754561&amp;date=2026-07 | https://data.police.uk/docs/method/crime-street/</x:v>
      </x:c>
      <x:c r="K7" s="9" t="str">
        <x:v>https://www.gov.uk/government/statistical-data-sets/price-paid-data-downloads</x:v>
      </x:c>
      <x:c r="L7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7" s="9" t="str">
        <x:v>https://www.rightmove.co.uk/property-for-sale/find.html?locationIdentifier=REGION%5E198&amp;minBedrooms=1&amp;maxBedrooms=1&amp;propertyTypes=flat&amp;includeSSTC=false&amp;mustHave=&amp;dontShow=retirement%2CsharedOwnership&amp;furnishTypes=&amp;keywords= | https://www.rightmove.co.uk/property-to-rent/find.html?locationIdentifier=REGION%5E198&amp;minBedrooms=1&amp;maxBedrooms=1&amp;propertyTypes=flat&amp;includeSSTC=true&amp;mustHave=&amp;dontShow=houseShare%2Cretirement&amp;furnishTypes=&amp;keywords= | https://los.rightmove.co.uk/typeahead?query=Bradford</x:v>
      </x:c>
      <x:c r="N7" s="9" t="str">
        <x:v>https://www.nationalrail.co.uk/journey-planner/ | https://www.traveline.info/ | https://www.wymetro.com/</x:v>
      </x:c>
      <x:c r="O7" s="9" t="str">
        <x:v>https://www.gov.uk/government/publications/strategic-noise-mapping-2022/explaining-the-2022-noise-maps | https://www.gov.uk/government/statistics/english-indices-of-deprivation-2025 | https://www.openstreetmap.org/search?query=Bradford%2C%20UK</x:v>
      </x:c>
    </x:row>
    <x:row r="8">
      <x:c r="A8" s="9" t="str">
        <x:v>Burnley</x:v>
      </x:c>
      <x:c r="B8" s="9" t="str">
        <x:v>Identical-radius centre proxy: 2417 violence/sexual-offence and 1565 ASB records in 12 months; relative composite places it in screening band 3/5, but this is not a population-normalised town or neighbourhood rate.</x:v>
      </x:c>
      <x:c r="C8" s="9" t="str">
        <x:v>Median of 98 achieved standard flat/maisonette sales; this is an all-size flat screening proxy, not a one-bedroom estimate.</x:v>
      </x:c>
      <x:c r="D8" s="9" t="str">
        <x:v>Official one-bedroom modelled average for Burnley LA; underlying observation count is not published in the table.</x:v>
      </x:c>
      <x:c r="E8" s="9" t="str">
        <x:v>Rightmove's filtered snapshot returned 5 sale and 22 rental results; these are portal headline counts, not deduplicated properties, and the query does not verify tower stock.</x:v>
      </x:c>
      <x:c r="F8" s="9" t="str">
        <x:v>Broad screen indicates basic bus and rail coverage with less network depth; this is a town-level judgement, not a neighbourhood accessibility audit.</x:v>
      </x:c>
      <x:c r="G8" s="9" t="str">
        <x:v>Approximate representative faster weekday journey from Burnley Manchester Road: London 190 min (2 changes), Birmingham 155 min (2 changes); recheck against the exact travel date.</x:v>
      </x:c>
      <x:c r="H8" s="9" t="str">
        <x:v>M65, rail and industrial corridors are conspicuous, but the town is less continuously busy than a major city.</x:v>
      </x:c>
      <x:c r="I8" s="9" t="str">
        <x:v>Industrial heritage and nearby landscape are positives, but deprivation and uneven town-centre fabric weaken the broad condition score.</x:v>
      </x:c>
      <x:c r="J8" s="9" t="str">
        <x:v>https://api.postcodes.io/places?q=Burnley | https://api.postcodes.io/postcodes?lon=-2.244390&amp;lat=53.787517&amp;limit=1&amp;radius=2000 | https://data.police.uk/api/crimes-street/all-crime?lat=53.787517&amp;lng=-2.244390&amp;date=2026-07 | https://data.police.uk/docs/method/crime-street/</x:v>
      </x:c>
      <x:c r="K8" s="9" t="str">
        <x:v>https://www.gov.uk/government/statistical-data-sets/price-paid-data-downloads</x:v>
      </x:c>
      <x:c r="L8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8" s="9" t="str">
        <x:v>https://www.rightmove.co.uk/property-for-sale/find.html?locationIdentifier=REGION%5E252&amp;minBedrooms=1&amp;maxBedrooms=1&amp;propertyTypes=flat&amp;includeSSTC=false&amp;mustHave=&amp;dontShow=retirement%2CsharedOwnership&amp;furnishTypes=&amp;keywords= | https://www.rightmove.co.uk/property-to-rent/find.html?locationIdentifier=REGION%5E252&amp;minBedrooms=1&amp;maxBedrooms=1&amp;propertyTypes=flat&amp;includeSSTC=true&amp;mustHave=&amp;dontShow=houseShare%2Cretirement&amp;furnishTypes=&amp;keywords= | https://los.rightmove.co.uk/typeahead?query=Burnley</x:v>
      </x:c>
      <x:c r="N8" s="9" t="str">
        <x:v>https://www.nationalrail.co.uk/journey-planner/ | https://www.traveline.info/</x:v>
      </x:c>
      <x:c r="O8" s="9" t="str">
        <x:v>https://www.gov.uk/government/publications/strategic-noise-mapping-2022/explaining-the-2022-noise-maps | https://www.gov.uk/government/statistics/english-indices-of-deprivation-2025 | https://www.openstreetmap.org/search?query=Burnley%2C%20UK</x:v>
      </x:c>
    </x:row>
    <x:row r="9">
      <x:c r="A9" s="9" t="str">
        <x:v>Burton-on-Trent</x:v>
      </x:c>
      <x:c r="B9" s="9" t="str">
        <x:v>Identical-radius centre proxy: 1710 violence/sexual-offence and 499 ASB records in 12 months; relative composite places it in screening band 5/5, but this is not a population-normalised town or neighbourhood rate.</x:v>
      </x:c>
      <x:c r="C9" s="9" t="str">
        <x:v>Median of 147 achieved standard flat/maisonette sales; this is an all-size flat screening proxy, not a one-bedroom estimate.</x:v>
      </x:c>
      <x:c r="D9" s="9" t="str">
        <x:v>Official one-bedroom modelled average for East Staffordshire LA; underlying observation count is not published in the table and the LA is broader than the named town.</x:v>
      </x:c>
      <x:c r="E9" s="9" t="str">
        <x:v>Rightmove's filtered snapshot returned 26 sale and 34 rental results; these are portal headline counts, not deduplicated properties, and the query does not verify tower stock.</x:v>
      </x:c>
      <x:c r="F9" s="9" t="str">
        <x:v>Broad screen indicates basic bus and rail coverage with less network depth; this is a town-level judgement, not a neighbourhood accessibility audit.</x:v>
      </x:c>
      <x:c r="G9" s="9" t="str">
        <x:v>Approximate representative faster weekday journey from Burton-on-Trent: London 95 min (1 change), Birmingham 30 min (0 changes); recheck against the exact travel date.</x:v>
      </x:c>
      <x:c r="H9" s="9" t="str">
        <x:v>The A38, railways and major brewing/industrial activity create conspicuous transport and industrial noise corridors.</x:v>
      </x:c>
      <x:c r="I9" s="9" t="str">
        <x:v>A serviceable centre and riverside assets are balanced by traffic-dominated and industrial urban fabric.</x:v>
      </x:c>
      <x:c r="J9" s="9" t="str">
        <x:v>https://api.postcodes.io/places?q=Burton%20upon%20Trent | https://api.postcodes.io/postcodes?lon=-1.644791&amp;lat=52.807376&amp;limit=1&amp;radius=2000 | https://data.police.uk/api/crimes-street/all-crime?lat=52.807376&amp;lng=-1.644791&amp;date=2026-07 | https://data.police.uk/docs/method/crime-street/</x:v>
      </x:c>
      <x:c r="K9" s="9" t="str">
        <x:v>https://www.gov.uk/government/statistical-data-sets/price-paid-data-downloads</x:v>
      </x:c>
      <x:c r="L9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9" s="9" t="str">
        <x:v>https://www.rightmove.co.uk/property-for-sale/find.html?locationIdentifier=REGION%5E256&amp;minBedrooms=1&amp;maxBedrooms=1&amp;propertyTypes=flat&amp;includeSSTC=false&amp;mustHave=&amp;dontShow=retirement%2CsharedOwnership&amp;furnishTypes=&amp;keywords= | https://www.rightmove.co.uk/property-to-rent/find.html?locationIdentifier=REGION%5E256&amp;minBedrooms=1&amp;maxBedrooms=1&amp;propertyTypes=flat&amp;includeSSTC=true&amp;mustHave=&amp;dontShow=houseShare%2Cretirement&amp;furnishTypes=&amp;keywords=</x:v>
      </x:c>
      <x:c r="N9" s="9" t="str">
        <x:v>https://www.nationalrail.co.uk/journey-planner/ | https://www.traveline.info/</x:v>
      </x:c>
      <x:c r="O9" s="9" t="str">
        <x:v>https://www.gov.uk/government/publications/strategic-noise-mapping-2022/explaining-the-2022-noise-maps | https://www.gov.uk/government/statistics/english-indices-of-deprivation-2025 | https://www.openstreetmap.org/search?query=Burton-on-Trent%2C%20UK</x:v>
      </x:c>
    </x:row>
    <x:row r="10">
      <x:c r="A10" s="9" t="str">
        <x:v>Cardiff</x:v>
      </x:c>
      <x:c r="B10" s="9" t="str">
        <x:v>Identical-radius centre proxy: 4514 violence/sexual-offence and 1753 ASB records in 12 months; relative composite places it in screening band 2/5, but this is not a population-normalised town or neighbourhood rate.</x:v>
      </x:c>
      <x:c r="C10" s="9" t="str">
        <x:v>Median of 1883 achieved standard flat/maisonette sales; this is an all-size flat screening proxy, not a one-bedroom estimate.</x:v>
      </x:c>
      <x:c r="D10" s="9" t="str">
        <x:v>Official one-bedroom modelled average for Cardiff LA; underlying observation count is not published in the table.</x:v>
      </x:c>
      <x:c r="E10" s="9" t="str">
        <x:v>Rightmove's filtered snapshot returned 259 sale and 468 rental results; these are portal headline counts, not deduplicated properties, and the query does not verify tower stock.</x:v>
      </x:c>
      <x:c r="F10" s="9" t="str">
        <x:v>Broad screen indicates a dense multimodal network; this is a town-level judgement, not a neighbourhood accessibility audit.</x:v>
      </x:c>
      <x:c r="G10" s="9" t="str">
        <x:v>Approximate representative faster weekday journey from Cardiff Central: London 110 min (0 changes), Birmingham 120 min (0 changes); recheck against the exact travel date.</x:v>
      </x:c>
      <x:c r="H10" s="9" t="str">
        <x:v>Capital-city traffic, dense rail approaches, major events and nightlife make central noise exposure comparatively likely.</x:v>
      </x:c>
      <x:c r="I10" s="9" t="str">
        <x:v>Substantial civic, park and renewed waterfront assets make the city broadly pleasant despite uneven inner corridors.</x:v>
      </x:c>
      <x:c r="J10" s="9" t="str">
        <x:v>https://api.postcodes.io/places?q=Cardiff | https://api.postcodes.io/postcodes?lon=-3.176855&amp;lat=51.480005&amp;limit=1&amp;radius=2000 | https://data.police.uk/api/crimes-street/all-crime?lat=51.480005&amp;lng=-3.176855&amp;date=2026-07 | https://data.police.uk/docs/method/crime-street/</x:v>
      </x:c>
      <x:c r="K10" s="9" t="str">
        <x:v>https://www.gov.uk/government/statistical-data-sets/price-paid-data-downloads</x:v>
      </x:c>
      <x:c r="L10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10" s="9" t="str">
        <x:v>https://www.rightmove.co.uk/property-for-sale/find.html?locationIdentifier=REGION%5E281&amp;minBedrooms=1&amp;maxBedrooms=1&amp;propertyTypes=flat&amp;includeSSTC=false&amp;mustHave=&amp;dontShow=retirement%2CsharedOwnership&amp;furnishTypes=&amp;keywords= | https://www.rightmove.co.uk/property-to-rent/find.html?locationIdentifier=REGION%5E281&amp;minBedrooms=1&amp;maxBedrooms=1&amp;propertyTypes=flat&amp;includeSSTC=true&amp;mustHave=&amp;dontShow=houseShare%2Cretirement&amp;furnishTypes=&amp;keywords= | https://los.rightmove.co.uk/typeahead?query=Cardiff</x:v>
      </x:c>
      <x:c r="N10" s="9" t="str">
        <x:v>https://www.nationalrail.co.uk/journey-planner/ | https://www.traveline.info/ | https://tfw.wales/</x:v>
      </x:c>
      <x:c r="O10" s="9" t="str">
        <x:v>https://datamap.gov.wales/layergroups/geonode%3AEnvironmental_Noise_Mapping_2022 | https://stats.gov.wales/en-GB/c67b9e08-dacc-439a-a244-2fce79b11400 | https://www.openstreetmap.org/search?query=Cardiff%2C%20UK</x:v>
      </x:c>
    </x:row>
    <x:row r="11">
      <x:c r="A11" s="9" t="str">
        <x:v>Chester</x:v>
      </x:c>
      <x:c r="B11" s="9" t="str">
        <x:v>Identical-radius centre proxy: 1929 violence/sexual-offence and 438 ASB records in 12 months; relative composite places it in screening band 5/5, but this is not a population-normalised town or neighbourhood rate.</x:v>
      </x:c>
      <x:c r="C11" s="9" t="str">
        <x:v>Median of 570 achieved standard flat/maisonette sales; this is an all-size flat screening proxy, not a one-bedroom estimate.</x:v>
      </x:c>
      <x:c r="D11" s="9" t="str">
        <x:v>Official one-bedroom modelled average for Cheshire West and Chester LA; underlying observation count is not published in the table and the LA is broader than the named town.</x:v>
      </x:c>
      <x:c r="E11" s="9" t="str">
        <x:v>Rightmove's filtered snapshot returned 43 sale and 54 rental results; these are portal headline counts, not deduplicated properties, and the query does not verify tower stock.</x:v>
      </x:c>
      <x:c r="F11" s="9" t="str">
        <x:v>Broad screen indicates a useful town/city bus-and-rail network; this is a town-level judgement, not a neighbourhood accessibility audit.</x:v>
      </x:c>
      <x:c r="G11" s="9" t="str">
        <x:v>Approximate representative faster weekday journey from Chester: London 125 min (0 changes), Birmingham 75 min (0 changes); recheck against the exact travel date.</x:v>
      </x:c>
      <x:c r="H11" s="9" t="str">
        <x:v>The A55 and railways are clear noise sources, but the compact city has many areas away from intensive urban activity.</x:v>
      </x:c>
      <x:c r="I11" s="9" t="str">
        <x:v>Exceptional historic fabric, river setting and generally strong public realm support a strongly favourable broad judgement.</x:v>
      </x:c>
      <x:c r="J11" s="9" t="str">
        <x:v>https://api.postcodes.io/places?q=Chester | https://api.postcodes.io/postcodes?lon=-2.891644&amp;lat=53.190204&amp;limit=1&amp;radius=2000 | https://data.police.uk/api/crimes-street/all-crime?lat=53.190204&amp;lng=-2.891644&amp;date=2026-07 | https://data.police.uk/docs/method/crime-street/</x:v>
      </x:c>
      <x:c r="K11" s="9" t="str">
        <x:v>https://www.gov.uk/government/statistical-data-sets/price-paid-data-downloads</x:v>
      </x:c>
      <x:c r="L11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11" s="9" t="str">
        <x:v>https://www.rightmove.co.uk/property-for-sale/find.html?locationIdentifier=REGION%5E313&amp;minBedrooms=1&amp;maxBedrooms=1&amp;propertyTypes=flat&amp;includeSSTC=false&amp;mustHave=&amp;dontShow=retirement%2CsharedOwnership&amp;furnishTypes=&amp;keywords= | https://www.rightmove.co.uk/property-to-rent/find.html?locationIdentifier=REGION%5E313&amp;minBedrooms=1&amp;maxBedrooms=1&amp;propertyTypes=flat&amp;includeSSTC=true&amp;mustHave=&amp;dontShow=houseShare%2Cretirement&amp;furnishTypes=&amp;keywords= | https://los.rightmove.co.uk/typeahead?query=Chester</x:v>
      </x:c>
      <x:c r="N11" s="9" t="str">
        <x:v>https://www.nationalrail.co.uk/journey-planner/ | https://www.traveline.info/</x:v>
      </x:c>
      <x:c r="O11" s="9" t="str">
        <x:v>https://www.gov.uk/government/publications/strategic-noise-mapping-2022/explaining-the-2022-noise-maps | https://www.gov.uk/government/statistics/english-indices-of-deprivation-2025 | https://www.openstreetmap.org/search?query=Chester%2C%20UK</x:v>
      </x:c>
    </x:row>
    <x:row r="12">
      <x:c r="A12" s="9" t="str">
        <x:v>Chesterfield</x:v>
      </x:c>
      <x:c r="B12" s="9" t="str">
        <x:v>Identical-radius centre proxy: 1799 violence/sexual-offence and 878 ASB records in 12 months; relative composite places it in screening band 4/5, but this is not a population-normalised town or neighbourhood rate.</x:v>
      </x:c>
      <x:c r="C12" s="9" t="str">
        <x:v>Median of 204 achieved standard flat/maisonette sales; this is an all-size flat screening proxy, not a one-bedroom estimate.</x:v>
      </x:c>
      <x:c r="D12" s="9" t="str">
        <x:v>Official one-bedroom modelled average for Chesterfield LA; underlying observation count is not published in the table.</x:v>
      </x:c>
      <x:c r="E12" s="9" t="str">
        <x:v>Rightmove's filtered snapshot returned 14 sale and 31 rental results; these are portal headline counts, not deduplicated properties, and the query does not verify tower stock.</x:v>
      </x:c>
      <x:c r="F12" s="9" t="str">
        <x:v>Broad screen indicates basic bus and rail coverage with less network depth; this is a town-level judgement, not a neighbourhood accessibility audit.</x:v>
      </x:c>
      <x:c r="G12" s="9" t="str">
        <x:v>Approximate representative faster weekday journey from Chesterfield: London 115 min (0 changes), Birmingham 65 min (0 changes); recheck against the exact travel date.</x:v>
      </x:c>
      <x:c r="H12" s="9" t="str">
        <x:v>The A61, rail and industrial corridors bring noise, while the town's scale leaves plausible calmer areas.</x:v>
      </x:c>
      <x:c r="I12" s="9" t="str">
        <x:v>A coherent historic centre and nearby landscape support a favourable judgement despite some post-industrial and arterial-road fabric.</x:v>
      </x:c>
      <x:c r="J12" s="9" t="str">
        <x:v>https://api.postcodes.io/places?q=Chesterfield | https://api.postcodes.io/postcodes?lon=-1.429206&amp;lat=53.236330&amp;limit=1&amp;radius=2000 | https://data.police.uk/api/crimes-street/all-crime?lat=53.236330&amp;lng=-1.429206&amp;date=2026-07 | https://data.police.uk/docs/method/crime-street/</x:v>
      </x:c>
      <x:c r="K12" s="9" t="str">
        <x:v>https://www.gov.uk/government/statistical-data-sets/price-paid-data-downloads</x:v>
      </x:c>
      <x:c r="L12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12" s="9" t="str">
        <x:v>https://www.rightmove.co.uk/property-for-sale/find.html?locationIdentifier=REGION%5E315&amp;minBedrooms=1&amp;maxBedrooms=1&amp;propertyTypes=flat&amp;includeSSTC=false&amp;mustHave=&amp;dontShow=retirement%2CsharedOwnership&amp;furnishTypes=&amp;keywords= | https://www.rightmove.co.uk/property-to-rent/find.html?locationIdentifier=REGION%5E315&amp;minBedrooms=1&amp;maxBedrooms=1&amp;propertyTypes=flat&amp;includeSSTC=true&amp;mustHave=&amp;dontShow=houseShare%2Cretirement&amp;furnishTypes=&amp;keywords= | https://los.rightmove.co.uk/typeahead?query=Chesterfield</x:v>
      </x:c>
      <x:c r="N12" s="9" t="str">
        <x:v>https://www.nationalrail.co.uk/journey-planner/ | https://www.traveline.info/</x:v>
      </x:c>
      <x:c r="O12" s="9" t="str">
        <x:v>https://www.gov.uk/government/publications/strategic-noise-mapping-2022/explaining-the-2022-noise-maps | https://www.gov.uk/government/statistics/english-indices-of-deprivation-2025 | https://www.openstreetmap.org/search?query=Chesterfield%2C%20UK</x:v>
      </x:c>
    </x:row>
    <x:row r="13">
      <x:c r="A13" s="9" t="str">
        <x:v>Coventry</x:v>
      </x:c>
      <x:c r="B13" s="9" t="str">
        <x:v>Identical-radius centre proxy: 4663 violence/sexual-offence and 555 ASB records in 12 months; relative composite places it in screening band 3/5, but this is not a population-normalised town or neighbourhood rate.</x:v>
      </x:c>
      <x:c r="C13" s="9" t="str">
        <x:v>Median of 830 achieved standard flat/maisonette sales; this is an all-size flat screening proxy, not a one-bedroom estimate.</x:v>
      </x:c>
      <x:c r="D13" s="9" t="str">
        <x:v>Official one-bedroom modelled average for Coventry LA; underlying observation count is not published in the table.</x:v>
      </x:c>
      <x:c r="E13" s="9" t="str">
        <x:v>Rightmove's filtered snapshot returned 88 sale and 184 rental results; these are portal headline counts, not deduplicated properties, and the query does not verify tower stock.</x:v>
      </x:c>
      <x:c r="F13" s="9" t="str">
        <x:v>Broad screen indicates a useful town/city bus-and-rail network; this is a town-level judgement, not a neighbourhood accessibility audit.</x:v>
      </x:c>
      <x:c r="G13" s="9" t="str">
        <x:v>Approximate representative faster weekday journey from Coventry: London 60 min (0 changes), Birmingham 20 min (0 changes); recheck against the exact travel date.</x:v>
      </x:c>
      <x:c r="H13" s="9" t="str">
        <x:v>The inner ring road, motorway approaches, rail and a substantial night-time economy create widespread noise pressure.</x:v>
      </x:c>
      <x:c r="I13" s="9" t="str">
        <x:v>Major public-realm renewal and heritage pockets coexist with traffic-heavy and uneven reconstructed urban fabric.</x:v>
      </x:c>
      <x:c r="J13" s="9" t="str">
        <x:v>https://api.postcodes.io/places?q=Coventry | https://api.postcodes.io/postcodes?lon=-1.506857&amp;lat=52.407707&amp;limit=1&amp;radius=2000 | https://data.police.uk/api/crimes-street/all-crime?lat=52.407707&amp;lng=-1.506857&amp;date=2026-07 | https://data.police.uk/docs/method/crime-street/</x:v>
      </x:c>
      <x:c r="K13" s="9" t="str">
        <x:v>https://www.gov.uk/government/statistical-data-sets/price-paid-data-downloads</x:v>
      </x:c>
      <x:c r="L13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13" s="9" t="str">
        <x:v>https://www.rightmove.co.uk/property-for-sale/find.html?locationIdentifier=REGION%5E368&amp;minBedrooms=1&amp;maxBedrooms=1&amp;propertyTypes=flat&amp;includeSSTC=false&amp;mustHave=&amp;dontShow=retirement%2CsharedOwnership&amp;furnishTypes=&amp;keywords= | https://www.rightmove.co.uk/property-to-rent/find.html?locationIdentifier=REGION%5E368&amp;minBedrooms=1&amp;maxBedrooms=1&amp;propertyTypes=flat&amp;includeSSTC=true&amp;mustHave=&amp;dontShow=houseShare%2Cretirement&amp;furnishTypes=&amp;keywords= | https://los.rightmove.co.uk/typeahead?query=Coventry</x:v>
      </x:c>
      <x:c r="N13" s="9" t="str">
        <x:v>https://www.nationalrail.co.uk/journey-planner/ | https://www.traveline.info/ | https://www.tfwm.org.uk/</x:v>
      </x:c>
      <x:c r="O13" s="9" t="str">
        <x:v>https://www.gov.uk/government/publications/strategic-noise-mapping-2022/explaining-the-2022-noise-maps | https://www.gov.uk/government/statistics/english-indices-of-deprivation-2025 | https://www.openstreetmap.org/search?query=Coventry%2C%20UK</x:v>
      </x:c>
    </x:row>
    <x:row r="14">
      <x:c r="A14" s="9" t="str">
        <x:v>Darlington</x:v>
      </x:c>
      <x:c r="B14" s="9" t="str">
        <x:v>Identical-radius centre proxy: 2195 violence/sexual-offence and 1576 ASB records in 12 months; relative composite places it in screening band 3/5, but this is not a population-normalised town or neighbourhood rate.</x:v>
      </x:c>
      <x:c r="C14" s="9" t="str">
        <x:v>Median of 220 achieved standard flat/maisonette sales; this is an all-size flat screening proxy, not a one-bedroom estimate.</x:v>
      </x:c>
      <x:c r="D14" s="9" t="str">
        <x:v>Official one-bedroom modelled average for Darlington LA; underlying observation count is not published in the table.</x:v>
      </x:c>
      <x:c r="E14" s="9" t="str">
        <x:v>Rightmove's filtered snapshot returned 23 sale and 24 rental results; these are portal headline counts, not deduplicated properties, and the query does not verify tower stock.</x:v>
      </x:c>
      <x:c r="F14" s="9" t="str">
        <x:v>Broad screen indicates a useful town/city bus-and-rail network; this is a town-level judgement, not a neighbourhood accessibility audit.</x:v>
      </x:c>
      <x:c r="G14" s="9" t="str">
        <x:v>Approximate representative faster weekday journey from Darlington: London 135 min (0 changes), Birmingham 145 min (1 change); recheck against the exact travel date.</x:v>
      </x:c>
      <x:c r="H14" s="9" t="str">
        <x:v>A1(M)/A66 approaches and a major rail corridor are conspicuous, but the town is not continuously high-intensity.</x:v>
      </x:c>
      <x:c r="I14" s="9" t="str">
        <x:v>Victorian and civic assets are balanced by ordinary and sometimes uneven edge and centre fabric.</x:v>
      </x:c>
      <x:c r="J14" s="9" t="str">
        <x:v>https://api.postcodes.io/places?q=Darlington | https://api.postcodes.io/postcodes?lon=-1.553611&amp;lat=54.523274&amp;limit=1&amp;radius=2000 | https://data.police.uk/api/crimes-street/all-crime?lat=54.523274&amp;lng=-1.553611&amp;date=2026-07 | https://data.police.uk/docs/method/crime-street/</x:v>
      </x:c>
      <x:c r="K14" s="9" t="str">
        <x:v>https://www.gov.uk/government/statistical-data-sets/price-paid-data-downloads</x:v>
      </x:c>
      <x:c r="L14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14" s="9" t="str">
        <x:v>https://www.rightmove.co.uk/property-for-sale/find.html?locationIdentifier=REGION%5E406&amp;minBedrooms=1&amp;maxBedrooms=1&amp;propertyTypes=flat&amp;includeSSTC=false&amp;mustHave=&amp;dontShow=retirement%2CsharedOwnership&amp;furnishTypes=&amp;keywords= | https://www.rightmove.co.uk/property-to-rent/find.html?locationIdentifier=REGION%5E406&amp;minBedrooms=1&amp;maxBedrooms=1&amp;propertyTypes=flat&amp;includeSSTC=true&amp;mustHave=&amp;dontShow=houseShare%2Cretirement&amp;furnishTypes=&amp;keywords= | https://los.rightmove.co.uk/typeahead?query=Darlington</x:v>
      </x:c>
      <x:c r="N14" s="9" t="str">
        <x:v>https://www.nationalrail.co.uk/journey-planner/ | https://www.traveline.info/</x:v>
      </x:c>
      <x:c r="O14" s="9" t="str">
        <x:v>https://www.gov.uk/government/publications/strategic-noise-mapping-2022/explaining-the-2022-noise-maps | https://www.gov.uk/government/statistics/english-indices-of-deprivation-2025 | https://www.openstreetmap.org/search?query=Darlington%2C%20UK</x:v>
      </x:c>
    </x:row>
    <x:row r="15">
      <x:c r="A15" s="9" t="str">
        <x:v>Derby</x:v>
      </x:c>
      <x:c r="B15" s="9" t="str">
        <x:v>Identical-radius centre proxy: 4711 violence/sexual-offence and 1581 ASB records in 12 months; relative composite places it in screening band 2/5, but this is not a population-normalised town or neighbourhood rate.</x:v>
      </x:c>
      <x:c r="C15" s="9" t="str">
        <x:v>Median of 532 achieved standard flat/maisonette sales; this is an all-size flat screening proxy, not a one-bedroom estimate.</x:v>
      </x:c>
      <x:c r="D15" s="9" t="str">
        <x:v>Official one-bedroom modelled average for Derby LA; underlying observation count is not published in the table.</x:v>
      </x:c>
      <x:c r="E15" s="9" t="str">
        <x:v>Rightmove's filtered snapshot returned 73 sale and 214 rental results; these are portal headline counts, not deduplicated properties, and the query does not verify tower stock.</x:v>
      </x:c>
      <x:c r="F15" s="9" t="str">
        <x:v>Broad screen indicates a useful town/city bus-and-rail network; this is a town-level judgement, not a neighbourhood accessibility audit.</x:v>
      </x:c>
      <x:c r="G15" s="9" t="str">
        <x:v>Approximate representative faster weekday journey from Derby: London 90 min (0 changes), Birmingham 35 min (0 changes); recheck against the exact travel date.</x:v>
      </x:c>
      <x:c r="H15" s="9" t="str">
        <x:v>Ring roads, a major rail corridor, industry and proximity to East Midlands Airport increase transport-noise exposure.</x:v>
      </x:c>
      <x:c r="I15" s="9" t="str">
        <x:v>Renewal and historic pockets coexist with traffic-dominated approaches and extensive industrial urban form.</x:v>
      </x:c>
      <x:c r="J15" s="9" t="str">
        <x:v>https://api.postcodes.io/places?q=Derby | https://api.postcodes.io/postcodes?lon=-1.478054&amp;lat=52.924693&amp;limit=1&amp;radius=2000 | https://data.police.uk/api/crimes-street/all-crime?lat=52.924693&amp;lng=-1.478054&amp;date=2026-07 | https://data.police.uk/docs/method/crime-street/</x:v>
      </x:c>
      <x:c r="K15" s="9" t="str">
        <x:v>https://www.gov.uk/government/statistical-data-sets/price-paid-data-downloads</x:v>
      </x:c>
      <x:c r="L15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15" s="9" t="str">
        <x:v>https://www.rightmove.co.uk/property-for-sale/find.html?locationIdentifier=REGION%5E418&amp;minBedrooms=1&amp;maxBedrooms=1&amp;propertyTypes=flat&amp;includeSSTC=false&amp;mustHave=&amp;dontShow=retirement%2CsharedOwnership&amp;furnishTypes=&amp;keywords= | https://www.rightmove.co.uk/property-to-rent/find.html?locationIdentifier=REGION%5E418&amp;minBedrooms=1&amp;maxBedrooms=1&amp;propertyTypes=flat&amp;includeSSTC=true&amp;mustHave=&amp;dontShow=houseShare%2Cretirement&amp;furnishTypes=&amp;keywords= | https://los.rightmove.co.uk/typeahead?query=Derby</x:v>
      </x:c>
      <x:c r="N15" s="9" t="str">
        <x:v>https://www.nationalrail.co.uk/journey-planner/ | https://www.traveline.info/</x:v>
      </x:c>
      <x:c r="O15" s="9" t="str">
        <x:v>https://www.gov.uk/government/publications/strategic-noise-mapping-2022/explaining-the-2022-noise-maps | https://www.gov.uk/government/statistics/english-indices-of-deprivation-2025 | https://www.openstreetmap.org/search?query=Derby%2C%20UK</x:v>
      </x:c>
    </x:row>
    <x:row r="16">
      <x:c r="A16" s="9" t="str">
        <x:v>Doncaster</x:v>
      </x:c>
      <x:c r="B16" s="9" t="str">
        <x:v>Identical-radius centre proxy: 3126 violence/sexual-offence and 1193 ASB records in 12 months; relative composite places it in screening band 3/5, but this is not a population-normalised town or neighbourhood rate.</x:v>
      </x:c>
      <x:c r="C16" s="9" t="str">
        <x:v>Median of 281 achieved standard flat/maisonette sales; this is an all-size flat screening proxy, not a one-bedroom estimate.</x:v>
      </x:c>
      <x:c r="D16" s="9" t="str">
        <x:v>Official one-bedroom modelled average for Doncaster LA; underlying observation count is not published in the table.</x:v>
      </x:c>
      <x:c r="E16" s="9" t="str">
        <x:v>Rightmove's filtered snapshot returned 25 sale and 27 rental results; these are portal headline counts, not deduplicated properties, and the query does not verify tower stock.</x:v>
      </x:c>
      <x:c r="F16" s="9" t="str">
        <x:v>Broad screen indicates a useful town/city bus-and-rail network; this is a town-level judgement, not a neighbourhood accessibility audit.</x:v>
      </x:c>
      <x:c r="G16" s="9" t="str">
        <x:v>Approximate representative faster weekday journey from Doncaster: London 100 min (0 changes), Birmingham 95 min (0 changes); recheck against the exact travel date.</x:v>
      </x:c>
      <x:c r="H16" s="9" t="str">
        <x:v>Motorways, a nationally important railway and extensive logistics/industrial land create multiple persistent noise corridors.</x:v>
      </x:c>
      <x:c r="I16" s="9" t="str">
        <x:v>Civic assets and renewal are offset by extensive post-industrial, logistics and deprived urban fabric.</x:v>
      </x:c>
      <x:c r="J16" s="9" t="str">
        <x:v>https://api.postcodes.io/places?q=Doncaster | https://api.postcodes.io/postcodes?lon=-1.132352&amp;lat=53.522723&amp;limit=1&amp;radius=2000 | https://data.police.uk/api/crimes-street/all-crime?lat=53.522723&amp;lng=-1.132352&amp;date=2026-07 | https://data.police.uk/docs/method/crime-street/</x:v>
      </x:c>
      <x:c r="K16" s="9" t="str">
        <x:v>https://www.gov.uk/government/statistical-data-sets/price-paid-data-downloads</x:v>
      </x:c>
      <x:c r="L16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16" s="9" t="str">
        <x:v>https://www.rightmove.co.uk/property-for-sale/find.html?locationIdentifier=REGION%5E430&amp;minBedrooms=1&amp;maxBedrooms=1&amp;propertyTypes=flat&amp;includeSSTC=false&amp;mustHave=&amp;dontShow=retirement%2CsharedOwnership&amp;furnishTypes=&amp;keywords= | https://www.rightmove.co.uk/property-to-rent/find.html?locationIdentifier=REGION%5E430&amp;minBedrooms=1&amp;maxBedrooms=1&amp;propertyTypes=flat&amp;includeSSTC=true&amp;mustHave=&amp;dontShow=houseShare%2Cretirement&amp;furnishTypes=&amp;keywords= | https://los.rightmove.co.uk/typeahead?query=Doncaster</x:v>
      </x:c>
      <x:c r="N16" s="9" t="str">
        <x:v>https://www.nationalrail.co.uk/journey-planner/ | https://www.traveline.info/ | https://www.travelsouthyorkshire.com/</x:v>
      </x:c>
      <x:c r="O16" s="9" t="str">
        <x:v>https://www.gov.uk/government/publications/strategic-noise-mapping-2022/explaining-the-2022-noise-maps | https://www.gov.uk/government/statistics/english-indices-of-deprivation-2025 | https://www.openstreetmap.org/search?query=Doncaster%2C%20UK</x:v>
      </x:c>
    </x:row>
    <x:row r="17">
      <x:c r="A17" s="9" t="str">
        <x:v>Gateshead</x:v>
      </x:c>
      <x:c r="B17" s="9" t="str">
        <x:v>Identical-radius centre proxy: 3208 violence/sexual-offence and 2044 ASB records in 12 months; relative composite places it in screening band 2/5, but this is not a population-normalised town or neighbourhood rate.</x:v>
      </x:c>
      <x:c r="C17" s="9" t="str">
        <x:v>Median of 597 achieved standard flat/maisonette sales; this is an all-size flat screening proxy, not a one-bedroom estimate.</x:v>
      </x:c>
      <x:c r="D17" s="9" t="str">
        <x:v>Official one-bedroom modelled average for Gateshead LA; underlying observation count is not published in the table.</x:v>
      </x:c>
      <x:c r="E17" s="9" t="str">
        <x:v>Rightmove's filtered snapshot returned 32 sale and 27 rental results; these are portal headline counts, not deduplicated properties, and the query does not verify tower stock.</x:v>
      </x:c>
      <x:c r="F17" s="9" t="str">
        <x:v>Broad screen indicates a dense multimodal network; this is a town-level judgement, not a neighbourhood accessibility audit.</x:v>
      </x:c>
      <x:c r="G17" s="9" t="str">
        <x:v>Approximate representative faster weekday journey from Newcastle used; short Metro connection from Gateshead: London 180 min (0 changes), Birmingham 190 min (0 changes); recheck against the exact travel date.</x:v>
      </x:c>
      <x:c r="H17" s="9" t="str">
        <x:v>The A1/A184, rail, river crossings and adjacency to Newcastle's urban core make noise exposure likely.</x:v>
      </x:c>
      <x:c r="I17" s="9" t="str">
        <x:v>Strong riverside cultural assets and regeneration coexist with large traffic corridors and uneven post-industrial fabric.</x:v>
      </x:c>
      <x:c r="J17" s="9" t="str">
        <x:v>https://api.postcodes.io/places?q=Gateshead | https://api.postcodes.io/postcodes?lon=-1.604945&amp;lat=54.959914&amp;limit=1&amp;radius=2000 | https://data.police.uk/api/crimes-street/all-crime?lat=54.959914&amp;lng=-1.604945&amp;date=2026-07 | https://data.police.uk/docs/method/crime-street/</x:v>
      </x:c>
      <x:c r="K17" s="9" t="str">
        <x:v>https://www.gov.uk/government/statistical-data-sets/price-paid-data-downloads</x:v>
      </x:c>
      <x:c r="L17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17" s="9" t="str">
        <x:v>https://www.rightmove.co.uk/property-for-sale/find.html?locationIdentifier=REGION%5E544&amp;minBedrooms=1&amp;maxBedrooms=1&amp;propertyTypes=flat&amp;includeSSTC=false&amp;mustHave=&amp;dontShow=retirement%2CsharedOwnership&amp;furnishTypes=&amp;keywords= | https://www.rightmove.co.uk/property-to-rent/find.html?locationIdentifier=REGION%5E544&amp;minBedrooms=1&amp;maxBedrooms=1&amp;propertyTypes=flat&amp;includeSSTC=true&amp;mustHave=&amp;dontShow=houseShare%2Cretirement&amp;furnishTypes=&amp;keywords= | https://los.rightmove.co.uk/typeahead?query=Gateshead</x:v>
      </x:c>
      <x:c r="N17" s="9" t="str">
        <x:v>https://www.nationalrail.co.uk/journey-planner/ | https://www.traveline.info/ | https://www.nexus.org.uk/</x:v>
      </x:c>
      <x:c r="O17" s="9" t="str">
        <x:v>https://www.gov.uk/government/publications/strategic-noise-mapping-2022/explaining-the-2022-noise-maps | https://www.gov.uk/government/statistics/english-indices-of-deprivation-2025 | https://www.openstreetmap.org/search?query=Gateshead%2C%20UK</x:v>
      </x:c>
    </x:row>
    <x:row r="18">
      <x:c r="A18" s="9" t="str">
        <x:v>Gloucester</x:v>
      </x:c>
      <x:c r="B18" s="9" t="str">
        <x:v>Identical-radius centre proxy: 1819 violence/sexual-offence and 941 ASB records in 12 months; relative composite places it in screening band 4/5, but this is not a population-normalised town or neighbourhood rate.</x:v>
      </x:c>
      <x:c r="C18" s="9" t="str">
        <x:v>Median of 681 achieved standard flat/maisonette sales; this is an all-size flat screening proxy, not a one-bedroom estimate.</x:v>
      </x:c>
      <x:c r="D18" s="9" t="str">
        <x:v>Official one-bedroom modelled average for Gloucester LA; underlying observation count is not published in the table.</x:v>
      </x:c>
      <x:c r="E18" s="9" t="str">
        <x:v>Rightmove's filtered snapshot returned 74 sale and 65 rental results; these are portal headline counts, not deduplicated properties, and the query does not verify tower stock.</x:v>
      </x:c>
      <x:c r="F18" s="9" t="str">
        <x:v>Broad screen indicates a useful town/city bus-and-rail network; this is a town-level judgement, not a neighbourhood accessibility audit.</x:v>
      </x:c>
      <x:c r="G18" s="9" t="str">
        <x:v>Approximate representative faster weekday journey from Gloucester: London 105 min (0 changes), Birmingham 55 min (0 changes); recheck against the exact travel date.</x:v>
      </x:c>
      <x:c r="H18" s="9" t="str">
        <x:v>M5 access, rail and industrial/port approaches create noise corridors, with calmer fabric beyond them.</x:v>
      </x:c>
      <x:c r="I18" s="9" t="str">
        <x:v>Historic core and renewed docks support a favourable broad judgement, although arterial and edge areas are mixed.</x:v>
      </x:c>
      <x:c r="J18" s="9" t="str">
        <x:v>https://api.postcodes.io/places?q=Gloucester | https://api.postcodes.io/postcodes?lon=-2.246934&amp;lat=51.864550&amp;limit=1&amp;radius=2000 | https://data.police.uk/api/crimes-street/all-crime?lat=51.864550&amp;lng=-2.246934&amp;date=2026-07 | https://data.police.uk/docs/method/crime-street/</x:v>
      </x:c>
      <x:c r="K18" s="9" t="str">
        <x:v>https://www.gov.uk/government/statistical-data-sets/price-paid-data-downloads</x:v>
      </x:c>
      <x:c r="L18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18" s="9" t="str">
        <x:v>https://www.rightmove.co.uk/property-for-sale/find.html?locationIdentifier=REGION%5E556&amp;minBedrooms=1&amp;maxBedrooms=1&amp;propertyTypes=flat&amp;includeSSTC=false&amp;mustHave=&amp;dontShow=retirement%2CsharedOwnership&amp;furnishTypes=&amp;keywords= | https://www.rightmove.co.uk/property-to-rent/find.html?locationIdentifier=REGION%5E556&amp;minBedrooms=1&amp;maxBedrooms=1&amp;propertyTypes=flat&amp;includeSSTC=true&amp;mustHave=&amp;dontShow=houseShare%2Cretirement&amp;furnishTypes=&amp;keywords= | https://los.rightmove.co.uk/typeahead?query=Gloucester</x:v>
      </x:c>
      <x:c r="N18" s="9" t="str">
        <x:v>https://www.nationalrail.co.uk/journey-planner/ | https://www.traveline.info/</x:v>
      </x:c>
      <x:c r="O18" s="9" t="str">
        <x:v>https://www.gov.uk/government/publications/strategic-noise-mapping-2022/explaining-the-2022-noise-maps | https://www.gov.uk/government/statistics/english-indices-of-deprivation-2025 | https://www.openstreetmap.org/search?query=Gloucester%2C%20UK</x:v>
      </x:c>
    </x:row>
    <x:row r="19">
      <x:c r="A19" s="9" t="str">
        <x:v>Halifax</x:v>
      </x:c>
      <x:c r="B19" s="9" t="str">
        <x:v>Identical-radius centre proxy: 2608 violence/sexual-offence and 618 ASB records in 12 months; relative composite places it in screening band 4/5, but this is not a population-normalised town or neighbourhood rate.</x:v>
      </x:c>
      <x:c r="C19" s="9" t="str">
        <x:v>Median of 216 achieved standard flat/maisonette sales; this is an all-size flat screening proxy, not a one-bedroom estimate.</x:v>
      </x:c>
      <x:c r="D19" s="9" t="str">
        <x:v>Official one-bedroom modelled average for Calderdale LA; underlying observation count is not published in the table and the LA is broader than the named town.</x:v>
      </x:c>
      <x:c r="E19" s="9" t="str">
        <x:v>Rightmove's filtered snapshot returned 34 sale and 49 rental results; these are portal headline counts, not deduplicated properties, and the query does not verify tower stock.</x:v>
      </x:c>
      <x:c r="F19" s="9" t="str">
        <x:v>Broad screen indicates a useful town/city bus-and-rail network; this is a town-level judgement, not a neighbourhood accessibility audit.</x:v>
      </x:c>
      <x:c r="G19" s="9" t="str">
        <x:v>Approximate representative faster weekday journey from Halifax: London 180 min (1 change), Birmingham 145 min (1 change); recheck against the exact travel date.</x:v>
      </x:c>
      <x:c r="H19" s="9" t="str">
        <x:v>Valley roads, rail and town-centre activity create concentrated noise, while the wider hilly urban area is mixed.</x:v>
      </x:c>
      <x:c r="I19" s="9" t="str">
        <x:v>Outstanding civic and industrial architecture is tempered by deprivation and uneven upkeep in parts of the town.</x:v>
      </x:c>
      <x:c r="J19" s="9" t="str">
        <x:v>https://api.postcodes.io/places?q=Halifax | https://api.postcodes.io/postcodes?lon=-1.860176&amp;lat=53.722827&amp;limit=1&amp;radius=2000 | https://data.police.uk/api/crimes-street/all-crime?lat=53.722827&amp;lng=-1.860176&amp;date=2026-07 | https://data.police.uk/docs/method/crime-street/</x:v>
      </x:c>
      <x:c r="K19" s="9" t="str">
        <x:v>https://www.gov.uk/government/statistical-data-sets/price-paid-data-downloads</x:v>
      </x:c>
      <x:c r="L19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19" s="9" t="str">
        <x:v>https://www.rightmove.co.uk/property-for-sale/find.html?locationIdentifier=REGION%5E588&amp;minBedrooms=1&amp;maxBedrooms=1&amp;propertyTypes=flat&amp;includeSSTC=false&amp;mustHave=&amp;dontShow=retirement%2CsharedOwnership&amp;furnishTypes=&amp;keywords= | https://www.rightmove.co.uk/property-to-rent/find.html?locationIdentifier=REGION%5E588&amp;minBedrooms=1&amp;maxBedrooms=1&amp;propertyTypes=flat&amp;includeSSTC=true&amp;mustHave=&amp;dontShow=houseShare%2Cretirement&amp;furnishTypes=&amp;keywords= | https://los.rightmove.co.uk/typeahead?query=Halifax</x:v>
      </x:c>
      <x:c r="N19" s="9" t="str">
        <x:v>https://www.nationalrail.co.uk/journey-planner/ | https://www.traveline.info/ | https://www.wymetro.com/</x:v>
      </x:c>
      <x:c r="O19" s="9" t="str">
        <x:v>https://www.gov.uk/government/publications/strategic-noise-mapping-2022/explaining-the-2022-noise-maps | https://www.gov.uk/government/statistics/english-indices-of-deprivation-2025 | https://www.openstreetmap.org/search?query=Halifax%2C%20UK</x:v>
      </x:c>
    </x:row>
    <x:row r="20">
      <x:c r="A20" s="9" t="str">
        <x:v>Hartlepool</x:v>
      </x:c>
      <x:c r="B20" s="9" t="str">
        <x:v>Identical-radius centre proxy: 2928 violence/sexual-offence and 1192 ASB records in 12 months; relative composite places it in screening band 3/5, but this is not a population-normalised town or neighbourhood rate.</x:v>
      </x:c>
      <x:c r="C20" s="9" t="str">
        <x:v>Median of 106 achieved standard flat/maisonette sales; this is an all-size flat screening proxy, not a one-bedroom estimate.</x:v>
      </x:c>
      <x:c r="D20" s="9" t="str">
        <x:v>Official one-bedroom modelled average for Hartlepool LA; underlying observation count is not published in the table.</x:v>
      </x:c>
      <x:c r="E20" s="9" t="str">
        <x:v>Rightmove's filtered snapshot returned 16 sale and 9 rental results; these are portal headline counts, not deduplicated properties, and the query does not verify tower stock.</x:v>
      </x:c>
      <x:c r="F20" s="9" t="str">
        <x:v>Broad screen indicates basic bus and rail coverage with less network depth; this is a town-level judgement, not a neighbourhood accessibility audit.</x:v>
      </x:c>
      <x:c r="G20" s="9" t="str">
        <x:v>Approximate representative faster weekday journey from Hartlepool: London 195 min (1 change), Birmingham 195 min (1 change); recheck against the exact travel date.</x:v>
      </x:c>
      <x:c r="H20" s="9" t="str">
        <x:v>Port industry, rail and arterial traffic are conspicuous, but overall urban intensity is moderate.</x:v>
      </x:c>
      <x:c r="I20" s="9" t="str">
        <x:v>The marina and heritage areas are positives, while deprivation and extensive industrial/post-industrial fabric reduce consistency.</x:v>
      </x:c>
      <x:c r="J20" s="9" t="str">
        <x:v>https://api.postcodes.io/places?q=Hartlepool | https://api.postcodes.io/postcodes?lon=-1.212911&amp;lat=54.685388&amp;limit=1&amp;radius=2000 | https://data.police.uk/api/crimes-street/all-crime?lat=54.685388&amp;lng=-1.212911&amp;date=2026-07 | https://data.police.uk/docs/method/crime-street/</x:v>
      </x:c>
      <x:c r="K20" s="9" t="str">
        <x:v>https://www.gov.uk/government/statistical-data-sets/price-paid-data-downloads</x:v>
      </x:c>
      <x:c r="L20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20" s="9" t="str">
        <x:v>https://www.rightmove.co.uk/property-for-sale/find.html?locationIdentifier=REGION%5E601&amp;minBedrooms=1&amp;maxBedrooms=1&amp;propertyTypes=flat&amp;includeSSTC=false&amp;mustHave=&amp;dontShow=retirement%2CsharedOwnership&amp;furnishTypes=&amp;keywords= | https://www.rightmove.co.uk/property-to-rent/find.html?locationIdentifier=REGION%5E601&amp;minBedrooms=1&amp;maxBedrooms=1&amp;propertyTypes=flat&amp;includeSSTC=true&amp;mustHave=&amp;dontShow=houseShare%2Cretirement&amp;furnishTypes=&amp;keywords= | https://los.rightmove.co.uk/typeahead?query=Hartlepool</x:v>
      </x:c>
      <x:c r="N20" s="9" t="str">
        <x:v>https://www.nationalrail.co.uk/journey-planner/ | https://www.traveline.info/</x:v>
      </x:c>
      <x:c r="O20" s="9" t="str">
        <x:v>https://www.gov.uk/government/publications/strategic-noise-mapping-2022/explaining-the-2022-noise-maps | https://www.gov.uk/government/statistics/english-indices-of-deprivation-2025 | https://www.openstreetmap.org/search?query=Hartlepool%2C%20UK</x:v>
      </x:c>
    </x:row>
    <x:row r="21">
      <x:c r="A21" s="9" t="str">
        <x:v>Huddersfield</x:v>
      </x:c>
      <x:c r="B21" s="9" t="str">
        <x:v>Identical-radius centre proxy: 2621 violence/sexual-offence and 498 ASB records in 12 months; relative composite places it in screening band 4/5, but this is not a population-normalised town or neighbourhood rate.</x:v>
      </x:c>
      <x:c r="C21" s="9" t="str">
        <x:v>Median of 288 achieved standard flat/maisonette sales; this is an all-size flat screening proxy, not a one-bedroom estimate.</x:v>
      </x:c>
      <x:c r="D21" s="9" t="str">
        <x:v>Official one-bedroom modelled average for Kirklees LA; underlying observation count is not published in the table and the LA is broader than the named town.</x:v>
      </x:c>
      <x:c r="E21" s="9" t="str">
        <x:v>Rightmove's filtered snapshot returned 33 sale and 91 rental results; these are portal headline counts, not deduplicated properties, and the query does not verify tower stock.</x:v>
      </x:c>
      <x:c r="F21" s="9" t="str">
        <x:v>Broad screen indicates a useful town/city bus-and-rail network; this is a town-level judgement, not a neighbourhood accessibility audit.</x:v>
      </x:c>
      <x:c r="G21" s="9" t="str">
        <x:v>Approximate representative faster weekday journey from Huddersfield: London 175 min (1 change), Birmingham 135 min (1 change); recheck against the exact travel date.</x:v>
      </x:c>
      <x:c r="H21" s="9" t="str">
        <x:v>Ring-road traffic, rail and town-centre nightlife are evident, with lower-intensity residential areas beyond.</x:v>
      </x:c>
      <x:c r="I21" s="9" t="str">
        <x:v>Strong stone architecture and landscape setting are balanced by traffic-heavy approaches and uneven central upkeep.</x:v>
      </x:c>
      <x:c r="J21" s="9" t="str">
        <x:v>https://api.postcodes.io/places?q=Huddersfield | https://api.postcodes.io/postcodes?lon=-1.782201&amp;lat=53.644281&amp;limit=1&amp;radius=2000 | https://data.police.uk/api/crimes-street/all-crime?lat=53.644281&amp;lng=-1.782201&amp;date=2026-07 | https://data.police.uk/docs/method/crime-street/</x:v>
      </x:c>
      <x:c r="K21" s="9" t="str">
        <x:v>https://www.gov.uk/government/statistical-data-sets/price-paid-data-downloads</x:v>
      </x:c>
      <x:c r="L21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21" s="9" t="str">
        <x:v>https://www.rightmove.co.uk/property-for-sale/find.html?locationIdentifier=REGION%5E664&amp;minBedrooms=1&amp;maxBedrooms=1&amp;propertyTypes=flat&amp;includeSSTC=false&amp;mustHave=&amp;dontShow=retirement%2CsharedOwnership&amp;furnishTypes=&amp;keywords= | https://www.rightmove.co.uk/property-to-rent/find.html?locationIdentifier=REGION%5E664&amp;minBedrooms=1&amp;maxBedrooms=1&amp;propertyTypes=flat&amp;includeSSTC=true&amp;mustHave=&amp;dontShow=houseShare%2Cretirement&amp;furnishTypes=&amp;keywords= | https://los.rightmove.co.uk/typeahead?query=Huddersfield</x:v>
      </x:c>
      <x:c r="N21" s="9" t="str">
        <x:v>https://www.nationalrail.co.uk/journey-planner/ | https://www.traveline.info/ | https://www.wymetro.com/</x:v>
      </x:c>
      <x:c r="O21" s="9" t="str">
        <x:v>https://www.gov.uk/government/publications/strategic-noise-mapping-2022/explaining-the-2022-noise-maps | https://www.gov.uk/government/statistics/english-indices-of-deprivation-2025 | https://www.openstreetmap.org/search?query=Huddersfield%2C%20UK</x:v>
      </x:c>
    </x:row>
    <x:row r="22">
      <x:c r="A22" s="9" t="str">
        <x:v>Hull (Kingston upon Hull)</x:v>
      </x:c>
      <x:c r="B22" s="9" t="str">
        <x:v>Identical-radius centre proxy: 2361 violence/sexual-offence and 405 ASB records in 12 months; relative composite places it in screening band 4/5, but this is not a population-normalised town or neighbourhood rate.</x:v>
      </x:c>
      <x:c r="C22" s="9" t="str">
        <x:v>Median of 406 achieved standard flat/maisonette sales; this is an all-size flat screening proxy, not a one-bedroom estimate.</x:v>
      </x:c>
      <x:c r="D22" s="9" t="str">
        <x:v>Official one-bedroom modelled average for Kingston upon Hull, City of LA; underlying observation count is not published in the table.</x:v>
      </x:c>
      <x:c r="E22" s="9" t="str">
        <x:v>Rightmove's filtered snapshot returned 92 sale and 128 rental results; these are portal headline counts, not deduplicated properties, and the query does not verify tower stock.</x:v>
      </x:c>
      <x:c r="F22" s="9" t="str">
        <x:v>Broad screen indicates a useful town/city bus-and-rail network; this is a town-level judgement, not a neighbourhood accessibility audit.</x:v>
      </x:c>
      <x:c r="G22" s="9" t="str">
        <x:v>Approximate representative faster weekday journey from Hull: London 165 min (0 changes), Birmingham 145 min (1 change); recheck against the exact travel date.</x:v>
      </x:c>
      <x:c r="H22" s="9" t="str">
        <x:v>Port, industry, freight traffic and broad arterial roads create substantial persistent-noise exposure.</x:v>
      </x:c>
      <x:c r="I22" s="9" t="str">
        <x:v>Renewed old town and waterfront areas coexist with extensive deprived and industrial urban fabric.</x:v>
      </x:c>
      <x:c r="J22" s="9" t="str">
        <x:v>https://api.postcodes.io/places?q=Kingston%20upon%20Hull | https://api.postcodes.io/postcodes?lon=-0.332576&amp;lat=53.744587&amp;limit=1&amp;radius=2000 | https://data.police.uk/api/crimes-street/all-crime?lat=53.744587&amp;lng=-0.332576&amp;date=2026-07 | https://data.police.uk/docs/method/crime-street/</x:v>
      </x:c>
      <x:c r="K22" s="9" t="str">
        <x:v>https://www.gov.uk/government/statistical-data-sets/price-paid-data-downloads</x:v>
      </x:c>
      <x:c r="L22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22" s="9" t="str">
        <x:v>https://www.rightmove.co.uk/property-for-sale/find.html?locationIdentifier=REGION%5E61244&amp;minBedrooms=1&amp;maxBedrooms=1&amp;propertyTypes=flat&amp;includeSSTC=false&amp;mustHave=&amp;dontShow=retirement%2CsharedOwnership&amp;furnishTypes=&amp;keywords= | https://www.rightmove.co.uk/property-to-rent/find.html?locationIdentifier=REGION%5E61244&amp;minBedrooms=1&amp;maxBedrooms=1&amp;propertyTypes=flat&amp;includeSSTC=true&amp;mustHave=&amp;dontShow=houseShare%2Cretirement&amp;furnishTypes=&amp;keywords= | https://los.rightmove.co.uk/typeahead?query=Kingston%20upon%20Hull</x:v>
      </x:c>
      <x:c r="N22" s="9" t="str">
        <x:v>https://www.nationalrail.co.uk/journey-planner/ | https://www.traveline.info/</x:v>
      </x:c>
      <x:c r="O22" s="9" t="str">
        <x:v>https://www.gov.uk/government/publications/strategic-noise-mapping-2022/explaining-the-2022-noise-maps | https://www.gov.uk/government/statistics/english-indices-of-deprivation-2025 | https://www.openstreetmap.org/search?query=Hull%20%28Kingston%20upon%20Hull%29%2C%20UK</x:v>
      </x:c>
    </x:row>
    <x:row r="23">
      <x:c r="A23" s="9" t="str">
        <x:v>Ipswich</x:v>
      </x:c>
      <x:c r="B23" s="9" t="str">
        <x:v>Identical-radius centre proxy: 2451 violence/sexual-offence and 442 ASB records in 12 months; relative composite places it in screening band 4/5, but this is not a population-normalised town or neighbourhood rate.</x:v>
      </x:c>
      <x:c r="C23" s="9" t="str">
        <x:v>Median of 545 achieved standard flat/maisonette sales; this is an all-size flat screening proxy, not a one-bedroom estimate.</x:v>
      </x:c>
      <x:c r="D23" s="9" t="str">
        <x:v>Official one-bedroom modelled average for Ipswich LA; underlying observation count is not published in the table.</x:v>
      </x:c>
      <x:c r="E23" s="9" t="str">
        <x:v>Rightmove's filtered snapshot returned 117 sale and 80 rental results; these are portal headline counts, not deduplicated properties, and the query does not verify tower stock.</x:v>
      </x:c>
      <x:c r="F23" s="9" t="str">
        <x:v>Broad screen indicates a useful town/city bus-and-rail network; this is a town-level judgement, not a neighbourhood accessibility audit.</x:v>
      </x:c>
      <x:c r="G23" s="9" t="str">
        <x:v>Approximate representative faster weekday journey from Ipswich: London 65 min (0 changes), Birmingham 170 min (1 change); recheck against the exact travel date.</x:v>
      </x:c>
      <x:c r="H23" s="9" t="str">
        <x:v>A14 approaches, rail and port activity create noise corridors, but the town's overall intensity is moderate.</x:v>
      </x:c>
      <x:c r="I23" s="9" t="str">
        <x:v>Waterfront renewal and historic fabric are balanced by uneven centre, arterial and industrial areas.</x:v>
      </x:c>
      <x:c r="J23" s="9" t="str">
        <x:v>https://api.postcodes.io/places?q=Ipswich | https://api.postcodes.io/postcodes?lon=1.152832&amp;lat=52.057066&amp;limit=1&amp;radius=2000 | https://data.police.uk/api/crimes-street/all-crime?lat=52.057066&amp;lng=1.152832&amp;date=2026-07 | https://data.police.uk/docs/method/crime-street/</x:v>
      </x:c>
      <x:c r="K23" s="9" t="str">
        <x:v>https://www.gov.uk/government/statistical-data-sets/price-paid-data-downloads</x:v>
      </x:c>
      <x:c r="L23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23" s="9" t="str">
        <x:v>https://www.rightmove.co.uk/property-for-sale/find.html?locationIdentifier=REGION%5E689&amp;minBedrooms=1&amp;maxBedrooms=1&amp;propertyTypes=flat&amp;includeSSTC=false&amp;mustHave=&amp;dontShow=retirement%2CsharedOwnership&amp;furnishTypes=&amp;keywords= | https://www.rightmove.co.uk/property-to-rent/find.html?locationIdentifier=REGION%5E689&amp;minBedrooms=1&amp;maxBedrooms=1&amp;propertyTypes=flat&amp;includeSSTC=true&amp;mustHave=&amp;dontShow=houseShare%2Cretirement&amp;furnishTypes=&amp;keywords= | https://los.rightmove.co.uk/typeahead?query=Ipswich</x:v>
      </x:c>
      <x:c r="N23" s="9" t="str">
        <x:v>https://www.nationalrail.co.uk/journey-planner/ | https://www.traveline.info/</x:v>
      </x:c>
      <x:c r="O23" s="9" t="str">
        <x:v>https://www.gov.uk/government/publications/strategic-noise-mapping-2022/explaining-the-2022-noise-maps | https://www.gov.uk/government/statistics/english-indices-of-deprivation-2025 | https://www.openstreetmap.org/search?query=Ipswich%2C%20UK</x:v>
      </x:c>
    </x:row>
    <x:row r="24">
      <x:c r="A24" s="9" t="str">
        <x:v>Kettering</x:v>
      </x:c>
      <x:c r="B24" s="9" t="str">
        <x:v>Identical-radius centre proxy: 1819 violence/sexual-offence and 1216 ASB records in 12 months; relative composite places it in screening band 4/5, but this is not a population-normalised town or neighbourhood rate.</x:v>
      </x:c>
      <x:c r="C24" s="9" t="str">
        <x:v>Median of 210 achieved standard flat/maisonette sales; this is an all-size flat screening proxy, not a one-bedroom estimate.</x:v>
      </x:c>
      <x:c r="D24" s="9" t="str">
        <x:v>Official one-bedroom modelled average for North Northamptonshire LA; underlying observation count is not published in the table and the LA is broader than the named town.</x:v>
      </x:c>
      <x:c r="E24" s="9" t="str">
        <x:v>Rightmove's filtered snapshot returned 15 sale and 30 rental results; these are portal headline counts, not deduplicated properties, and the query does not verify tower stock.</x:v>
      </x:c>
      <x:c r="F24" s="9" t="str">
        <x:v>Broad screen indicates basic bus and rail coverage with less network depth; this is a town-level judgement, not a neighbourhood accessibility audit.</x:v>
      </x:c>
      <x:c r="G24" s="9" t="str">
        <x:v>Approximate representative faster weekday journey from Kettering: London 55 min (0 changes), Birmingham 70 min (0 changes); recheck against the exact travel date.</x:v>
      </x:c>
      <x:c r="H24" s="9" t="str">
        <x:v>A14 traffic and the Midland Main Line are conspicuous, while the smaller town scale allows calmer areas.</x:v>
      </x:c>
      <x:c r="I24" s="9" t="str">
        <x:v>Historic pockets and ordinary maintained suburbs are balanced by traffic and commercial-edge fabric.</x:v>
      </x:c>
      <x:c r="J24" s="9" t="str">
        <x:v>https://api.postcodes.io/places?q=Kettering | https://api.postcodes.io/postcodes?lon=-0.728307&amp;lat=52.399947&amp;limit=1&amp;radius=2000 | https://data.police.uk/api/crimes-street/all-crime?lat=52.399947&amp;lng=-0.728307&amp;date=2026-07 | https://data.police.uk/docs/method/crime-street/</x:v>
      </x:c>
      <x:c r="K24" s="9" t="str">
        <x:v>https://www.gov.uk/government/statistical-data-sets/price-paid-data-downloads</x:v>
      </x:c>
      <x:c r="L24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24" s="9" t="str">
        <x:v>https://www.rightmove.co.uk/property-for-sale/find.html?locationIdentifier=REGION%5E732&amp;minBedrooms=1&amp;maxBedrooms=1&amp;propertyTypes=flat&amp;includeSSTC=false&amp;mustHave=&amp;dontShow=retirement%2CsharedOwnership&amp;furnishTypes=&amp;keywords= | https://www.rightmove.co.uk/property-to-rent/find.html?locationIdentifier=REGION%5E732&amp;minBedrooms=1&amp;maxBedrooms=1&amp;propertyTypes=flat&amp;includeSSTC=true&amp;mustHave=&amp;dontShow=houseShare%2Cretirement&amp;furnishTypes=&amp;keywords= | https://los.rightmove.co.uk/typeahead?query=Kettering</x:v>
      </x:c>
      <x:c r="N24" s="9" t="str">
        <x:v>https://www.nationalrail.co.uk/journey-planner/ | https://www.traveline.info/</x:v>
      </x:c>
      <x:c r="O24" s="9" t="str">
        <x:v>https://www.gov.uk/government/publications/strategic-noise-mapping-2022/explaining-the-2022-noise-maps | https://www.gov.uk/government/statistics/english-indices-of-deprivation-2025 | https://www.openstreetmap.org/search?query=Kettering%2C%20UK</x:v>
      </x:c>
    </x:row>
    <x:row r="25">
      <x:c r="A25" s="9" t="str">
        <x:v>Lancaster</x:v>
      </x:c>
      <x:c r="B25" s="9" t="str">
        <x:v>Identical-radius centre proxy: 1646 violence/sexual-offence and 1154 ASB records in 12 months; relative composite places it in screening band 4/5, but this is not a population-normalised town or neighbourhood rate.</x:v>
      </x:c>
      <x:c r="C25" s="9" t="str">
        <x:v>Median of 231 achieved standard flat/maisonette sales; this is an all-size flat screening proxy, not a one-bedroom estimate.</x:v>
      </x:c>
      <x:c r="D25" s="9" t="str">
        <x:v>Official one-bedroom modelled average for Lancaster LA; underlying observation count is not published in the table.</x:v>
      </x:c>
      <x:c r="E25" s="9" t="str">
        <x:v>Rightmove's filtered snapshot returned 26 sale and 9 rental results; these are portal headline counts, not deduplicated properties, and the query does not verify tower stock.</x:v>
      </x:c>
      <x:c r="F25" s="9" t="str">
        <x:v>Broad screen indicates a useful town/city bus-and-rail network; this is a town-level judgement, not a neighbourhood accessibility audit.</x:v>
      </x:c>
      <x:c r="G25" s="9" t="str">
        <x:v>Approximate representative faster weekday journey from Lancaster: London 145 min (0 changes), Birmingham 110 min (0 changes); recheck against the exact travel date.</x:v>
      </x:c>
      <x:c r="H25" s="9" t="str">
        <x:v>M6 and West Coast Main Line corridors are clear sources, but the compact historic city has substantial lower-intensity fabric.</x:v>
      </x:c>
      <x:c r="I25" s="9" t="str">
        <x:v>Coherent historic architecture, river and nearby landscape support a favourable broad condition judgement.</x:v>
      </x:c>
      <x:c r="J25" s="9" t="str">
        <x:v>https://api.postcodes.io/places?q=Lancaster | https://api.postcodes.io/postcodes?lon=-2.803161&amp;lat=54.050069&amp;limit=1&amp;radius=2000 | https://data.police.uk/api/crimes-street/all-crime?lat=54.050069&amp;lng=-2.803161&amp;date=2026-07 | https://data.police.uk/docs/method/crime-street/</x:v>
      </x:c>
      <x:c r="K25" s="9" t="str">
        <x:v>https://www.gov.uk/government/statistical-data-sets/price-paid-data-downloads</x:v>
      </x:c>
      <x:c r="L25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25" s="9" t="str">
        <x:v>https://www.rightmove.co.uk/property-for-sale/find.html?locationIdentifier=REGION%5E769&amp;minBedrooms=1&amp;maxBedrooms=1&amp;propertyTypes=flat&amp;includeSSTC=false&amp;mustHave=&amp;dontShow=retirement%2CsharedOwnership&amp;furnishTypes=&amp;keywords= | https://www.rightmove.co.uk/property-to-rent/find.html?locationIdentifier=REGION%5E769&amp;minBedrooms=1&amp;maxBedrooms=1&amp;propertyTypes=flat&amp;includeSSTC=true&amp;mustHave=&amp;dontShow=houseShare%2Cretirement&amp;furnishTypes=&amp;keywords= | https://los.rightmove.co.uk/typeahead?query=Lancaster</x:v>
      </x:c>
      <x:c r="N25" s="9" t="str">
        <x:v>https://www.nationalrail.co.uk/journey-planner/ | https://www.traveline.info/</x:v>
      </x:c>
      <x:c r="O25" s="9" t="str">
        <x:v>https://www.gov.uk/government/publications/strategic-noise-mapping-2022/explaining-the-2022-noise-maps | https://www.gov.uk/government/statistics/english-indices-of-deprivation-2025 | https://www.openstreetmap.org/search?query=Lancaster%2C%20UK</x:v>
      </x:c>
    </x:row>
    <x:row r="26">
      <x:c r="A26" s="9" t="str">
        <x:v>Leeds</x:v>
      </x:c>
      <x:c r="B26" s="9" t="str">
        <x:v>Identical-radius centre proxy: 5009 violence/sexual-offence and 1514 ASB records in 12 months; relative composite places it in screening band 2/5, but this is not a population-normalised town or neighbourhood rate.</x:v>
      </x:c>
      <x:c r="C26" s="9" t="str">
        <x:v>Median of 2152 achieved standard flat/maisonette sales; this is an all-size flat screening proxy, not a one-bedroom estimate.</x:v>
      </x:c>
      <x:c r="D26" s="9" t="str">
        <x:v>Official one-bedroom modelled average for Leeds LA; underlying observation count is not published in the table.</x:v>
      </x:c>
      <x:c r="E26" s="9" t="str">
        <x:v>Rightmove's filtered snapshot returned 453 sale and 627 rental results; these are portal headline counts, not deduplicated properties, and the query does not verify tower stock.</x:v>
      </x:c>
      <x:c r="F26" s="9" t="str">
        <x:v>Broad screen indicates a dense multimodal network; this is a town-level judgement, not a neighbourhood accessibility audit.</x:v>
      </x:c>
      <x:c r="G26" s="9" t="str">
        <x:v>Approximate representative faster weekday journey from Leeds: London 130 min (0 changes), Birmingham 115 min (0 changes); recheck against the exact travel date.</x:v>
      </x:c>
      <x:c r="H26" s="9" t="str">
        <x:v>Motorways, dense rail, arterial traffic, nightlife and airport influence make quietness inconsistent across the large city.</x:v>
      </x:c>
      <x:c r="I26" s="9" t="str">
        <x:v>A strong renewed centre, civic fabric and parks support pleasantness, though conditions vary considerably.</x:v>
      </x:c>
      <x:c r="J26" s="9" t="str">
        <x:v>https://api.postcodes.io/places?q=Leeds | https://api.postcodes.io/postcodes?lon=-1.550264&amp;lat=53.800703&amp;limit=1&amp;radius=2000 | https://data.police.uk/api/crimes-street/all-crime?lat=53.800703&amp;lng=-1.550264&amp;date=2026-07 | https://data.police.uk/docs/method/crime-street/</x:v>
      </x:c>
      <x:c r="K26" s="9" t="str">
        <x:v>https://www.gov.uk/government/statistical-data-sets/price-paid-data-downloads</x:v>
      </x:c>
      <x:c r="L26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26" s="9" t="str">
        <x:v>https://www.rightmove.co.uk/property-for-sale/find.html?locationIdentifier=REGION%5E787&amp;minBedrooms=1&amp;maxBedrooms=1&amp;propertyTypes=flat&amp;includeSSTC=false&amp;mustHave=&amp;dontShow=retirement%2CsharedOwnership&amp;furnishTypes=&amp;keywords= | https://www.rightmove.co.uk/property-to-rent/find.html?locationIdentifier=REGION%5E787&amp;minBedrooms=1&amp;maxBedrooms=1&amp;propertyTypes=flat&amp;includeSSTC=true&amp;mustHave=&amp;dontShow=houseShare%2Cretirement&amp;furnishTypes=&amp;keywords= | https://los.rightmove.co.uk/typeahead?query=Leeds</x:v>
      </x:c>
      <x:c r="N26" s="9" t="str">
        <x:v>https://www.nationalrail.co.uk/journey-planner/ | https://www.traveline.info/ | https://www.wymetro.com/</x:v>
      </x:c>
      <x:c r="O26" s="9" t="str">
        <x:v>https://www.gov.uk/government/publications/strategic-noise-mapping-2022/explaining-the-2022-noise-maps | https://www.gov.uk/government/statistics/english-indices-of-deprivation-2025 | https://www.openstreetmap.org/search?query=Leeds%2C%20UK</x:v>
      </x:c>
    </x:row>
    <x:row r="27">
      <x:c r="A27" s="9" t="str">
        <x:v>Leicester</x:v>
      </x:c>
      <x:c r="B27" s="9" t="str">
        <x:v>Identical-radius centre proxy: 5784 violence/sexual-offence and 2366 ASB records in 12 months; relative composite places it in screening band 1/5, but this is not a population-normalised town or neighbourhood rate.</x:v>
      </x:c>
      <x:c r="C27" s="9" t="str">
        <x:v>Median of 803 achieved standard flat/maisonette sales; this is an all-size flat screening proxy, not a one-bedroom estimate.</x:v>
      </x:c>
      <x:c r="D27" s="9" t="str">
        <x:v>Official one-bedroom modelled average for Leicester LA; underlying observation count is not published in the table.</x:v>
      </x:c>
      <x:c r="E27" s="9" t="str">
        <x:v>Rightmove's filtered snapshot returned 190 sale and 386 rental results; these are portal headline counts, not deduplicated properties, and the query does not verify tower stock.</x:v>
      </x:c>
      <x:c r="F27" s="9" t="str">
        <x:v>Broad screen indicates a useful town/city bus-and-rail network; this is a town-level judgement, not a neighbourhood accessibility audit.</x:v>
      </x:c>
      <x:c r="G27" s="9" t="str">
        <x:v>Approximate representative faster weekday journey from Leicester: London 65 min (0 changes), Birmingham 55 min (0 changes); recheck against the exact travel date.</x:v>
      </x:c>
      <x:c r="H27" s="9" t="str">
        <x:v>Dense radial traffic, ring roads, rail and a large night-time economy create widespread urban noise pressure.</x:v>
      </x:c>
      <x:c r="I27" s="9" t="str">
        <x:v>Historic and renewed central pockets coexist with traffic-heavy and uneven fabric, yielding a mixed judgement.</x:v>
      </x:c>
      <x:c r="J27" s="9" t="str">
        <x:v>https://api.postcodes.io/places?q=Leicester | https://api.postcodes.io/postcodes?lon=-1.133462&amp;lat=52.633614&amp;limit=1&amp;radius=2000 | https://data.police.uk/api/crimes-street/all-crime?lat=52.633614&amp;lng=-1.133462&amp;date=2026-07 | https://data.police.uk/docs/method/crime-street/</x:v>
      </x:c>
      <x:c r="K27" s="9" t="str">
        <x:v>https://www.gov.uk/government/statistical-data-sets/price-paid-data-downloads</x:v>
      </x:c>
      <x:c r="L27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27" s="9" t="str">
        <x:v>https://www.rightmove.co.uk/property-for-sale/find.html?locationIdentifier=REGION%5E789&amp;minBedrooms=1&amp;maxBedrooms=1&amp;propertyTypes=flat&amp;includeSSTC=false&amp;mustHave=&amp;dontShow=retirement%2CsharedOwnership&amp;furnishTypes=&amp;keywords= | https://www.rightmove.co.uk/property-to-rent/find.html?locationIdentifier=REGION%5E789&amp;minBedrooms=1&amp;maxBedrooms=1&amp;propertyTypes=flat&amp;includeSSTC=true&amp;mustHave=&amp;dontShow=houseShare%2Cretirement&amp;furnishTypes=&amp;keywords= | https://los.rightmove.co.uk/typeahead?query=Leicester</x:v>
      </x:c>
      <x:c r="N27" s="9" t="str">
        <x:v>https://www.nationalrail.co.uk/journey-planner/ | https://www.traveline.info/</x:v>
      </x:c>
      <x:c r="O27" s="9" t="str">
        <x:v>https://www.gov.uk/government/publications/strategic-noise-mapping-2022/explaining-the-2022-noise-maps | https://www.gov.uk/government/statistics/english-indices-of-deprivation-2025 | https://www.openstreetmap.org/search?query=Leicester%2C%20UK</x:v>
      </x:c>
    </x:row>
    <x:row r="28">
      <x:c r="A28" s="9" t="str">
        <x:v>Lincoln</x:v>
      </x:c>
      <x:c r="B28" s="9" t="str">
        <x:v>Identical-radius centre proxy: 2430 violence/sexual-offence and 1967 ASB records in 12 months; relative composite places it in screening band 2/5, but this is not a population-normalised town or neighbourhood rate.</x:v>
      </x:c>
      <x:c r="C28" s="9" t="str">
        <x:v>Median of 285 achieved standard flat/maisonette sales; this is an all-size flat screening proxy, not a one-bedroom estimate.</x:v>
      </x:c>
      <x:c r="D28" s="9" t="str">
        <x:v>Official one-bedroom modelled average for Lincoln LA; underlying observation count is not published in the table.</x:v>
      </x:c>
      <x:c r="E28" s="9" t="str">
        <x:v>Rightmove's filtered snapshot returned 47 sale and 68 rental results; these are portal headline counts, not deduplicated properties, and the query does not verify tower stock.</x:v>
      </x:c>
      <x:c r="F28" s="9" t="str">
        <x:v>Broad screen indicates basic bus and rail coverage with less network depth; this is a town-level judgement, not a neighbourhood accessibility audit.</x:v>
      </x:c>
      <x:c r="G28" s="9" t="str">
        <x:v>Approximate representative faster weekday journey from Lincoln: London 120 min (0 changes), Birmingham 105 min (1 change); recheck against the exact travel date.</x:v>
      </x:c>
      <x:c r="H28" s="9" t="str">
        <x:v>The A46, rail, tourism and student/nightlife activity create concentrated noise, with calmer areas elsewhere.</x:v>
      </x:c>
      <x:c r="I28" s="9" t="str">
        <x:v>Cathedral-quarter heritage and a distinctive setting support a favourable judgement despite mixed lower-city approaches.</x:v>
      </x:c>
      <x:c r="J28" s="9" t="str">
        <x:v>https://api.postcodes.io/places?q=Lincoln | https://api.postcodes.io/postcodes?lon=-0.538440&amp;lat=53.234841&amp;limit=1&amp;radius=2000 | https://data.police.uk/api/crimes-street/all-crime?lat=53.234841&amp;lng=-0.538440&amp;date=2026-07 | https://data.police.uk/docs/method/crime-street/</x:v>
      </x:c>
      <x:c r="K28" s="9" t="str">
        <x:v>https://www.gov.uk/government/statistical-data-sets/price-paid-data-downloads</x:v>
      </x:c>
      <x:c r="L28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28" s="9" t="str">
        <x:v>https://www.rightmove.co.uk/property-for-sale/find.html?locationIdentifier=REGION%5E804&amp;minBedrooms=1&amp;maxBedrooms=1&amp;propertyTypes=flat&amp;includeSSTC=false&amp;mustHave=&amp;dontShow=retirement%2CsharedOwnership&amp;furnishTypes=&amp;keywords= | https://www.rightmove.co.uk/property-to-rent/find.html?locationIdentifier=REGION%5E804&amp;minBedrooms=1&amp;maxBedrooms=1&amp;propertyTypes=flat&amp;includeSSTC=true&amp;mustHave=&amp;dontShow=houseShare%2Cretirement&amp;furnishTypes=&amp;keywords= | https://los.rightmove.co.uk/typeahead?query=Lincoln</x:v>
      </x:c>
      <x:c r="N28" s="9" t="str">
        <x:v>https://www.nationalrail.co.uk/journey-planner/ | https://www.traveline.info/</x:v>
      </x:c>
      <x:c r="O28" s="9" t="str">
        <x:v>https://www.gov.uk/government/publications/strategic-noise-mapping-2022/explaining-the-2022-noise-maps | https://www.gov.uk/government/statistics/english-indices-of-deprivation-2025 | https://www.openstreetmap.org/search?query=Lincoln%2C%20UK</x:v>
      </x:c>
    </x:row>
    <x:row r="29">
      <x:c r="A29" s="9" t="str">
        <x:v>Liverpool</x:v>
      </x:c>
      <x:c r="B29" s="9" t="str">
        <x:v>Identical-radius centre proxy: 6195 violence/sexual-offence and 1908 ASB records in 12 months; relative composite places it in screening band 1/5, but this is not a population-normalised town or neighbourhood rate.</x:v>
      </x:c>
      <x:c r="C29" s="9" t="str">
        <x:v>Median of 2356 achieved standard flat/maisonette sales; this is an all-size flat screening proxy, not a one-bedroom estimate.</x:v>
      </x:c>
      <x:c r="D29" s="9" t="str">
        <x:v>Official one-bedroom modelled average for Liverpool LA; underlying observation count is not published in the table.</x:v>
      </x:c>
      <x:c r="E29" s="9" t="str">
        <x:v>Rightmove's filtered snapshot returned 965 sale and 347 rental results; these are portal headline counts, not deduplicated properties, and the query does not verify tower stock.</x:v>
      </x:c>
      <x:c r="F29" s="9" t="str">
        <x:v>Broad screen indicates a dense multimodal network; this is a town-level judgement, not a neighbourhood accessibility audit.</x:v>
      </x:c>
      <x:c r="G29" s="9" t="str">
        <x:v>Approximate representative faster weekday journey from Liverpool Lime Street: London 135 min (0 changes), Birmingham 95 min (0 changes); recheck against the exact travel date.</x:v>
      </x:c>
      <x:c r="H29" s="9" t="str">
        <x:v>Port activity, dense road and rail infrastructure and a major nightlife economy create substantial noise pressure.</x:v>
      </x:c>
      <x:c r="I29" s="9" t="str">
        <x:v>Exceptional civic and waterfront fabric plus renewal outweigh, but do not remove, marked variation and deprived areas.</x:v>
      </x:c>
      <x:c r="J29" s="9" t="str">
        <x:v>https://api.postcodes.io/places?q=Liverpool | https://api.postcodes.io/postcodes?lon=-2.978495&amp;lat=53.409350&amp;limit=1&amp;radius=2000 | https://data.police.uk/api/crimes-street/all-crime?lat=53.409350&amp;lng=-2.978495&amp;date=2026-07 | https://data.police.uk/docs/method/crime-street/</x:v>
      </x:c>
      <x:c r="K29" s="9" t="str">
        <x:v>https://www.gov.uk/government/statistical-data-sets/price-paid-data-downloads</x:v>
      </x:c>
      <x:c r="L29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29" s="9" t="str">
        <x:v>https://www.rightmove.co.uk/property-for-sale/find.html?locationIdentifier=REGION%5E813&amp;minBedrooms=1&amp;maxBedrooms=1&amp;propertyTypes=flat&amp;includeSSTC=false&amp;mustHave=&amp;dontShow=retirement%2CsharedOwnership&amp;furnishTypes=&amp;keywords= | https://www.rightmove.co.uk/property-to-rent/find.html?locationIdentifier=REGION%5E813&amp;minBedrooms=1&amp;maxBedrooms=1&amp;propertyTypes=flat&amp;includeSSTC=true&amp;mustHave=&amp;dontShow=houseShare%2Cretirement&amp;furnishTypes=&amp;keywords= | https://los.rightmove.co.uk/typeahead?query=Liverpool</x:v>
      </x:c>
      <x:c r="N29" s="9" t="str">
        <x:v>https://www.nationalrail.co.uk/journey-planner/ | https://www.traveline.info/ | https://www.merseytravel.gov.uk/</x:v>
      </x:c>
      <x:c r="O29" s="9" t="str">
        <x:v>https://www.gov.uk/government/publications/strategic-noise-mapping-2022/explaining-the-2022-noise-maps | https://www.gov.uk/government/statistics/english-indices-of-deprivation-2025 | https://www.openstreetmap.org/search?query=Liverpool%2C%20UK</x:v>
      </x:c>
    </x:row>
    <x:row r="30">
      <x:c r="A30" s="9" t="str">
        <x:v>Loughborough</x:v>
      </x:c>
      <x:c r="B30" s="9" t="str">
        <x:v>Identical-radius centre proxy: 1448 violence/sexual-offence and 703 ASB records in 12 months; relative composite places it in screening band 5/5, but this is not a population-normalised town or neighbourhood rate.</x:v>
      </x:c>
      <x:c r="C30" s="9" t="str">
        <x:v>Median of 206 achieved standard flat/maisonette sales; this is an all-size flat screening proxy, not a one-bedroom estimate.</x:v>
      </x:c>
      <x:c r="D30" s="9" t="str">
        <x:v>Official one-bedroom modelled average for Charnwood LA; underlying observation count is not published in the table and the LA is broader than the named town.</x:v>
      </x:c>
      <x:c r="E30" s="9" t="str">
        <x:v>Rightmove's filtered snapshot returned 17 sale and 20 rental results; these are portal headline counts, not deduplicated properties, and the query does not verify tower stock.</x:v>
      </x:c>
      <x:c r="F30" s="9" t="str">
        <x:v>Broad screen indicates basic bus and rail coverage with less network depth; this is a town-level judgement, not a neighbourhood accessibility audit.</x:v>
      </x:c>
      <x:c r="G30" s="9" t="str">
        <x:v>Approximate representative faster weekday journey from Loughborough: London 75 min (0 changes), Birmingham 75 min (0 changes); recheck against the exact travel date.</x:v>
      </x:c>
      <x:c r="H30" s="9" t="str">
        <x:v>M1 proximity, rail and university/nightlife activity create noise corridors but not continuous big-city intensity.</x:v>
      </x:c>
      <x:c r="I30" s="9" t="str">
        <x:v>A functional centre and greener university/residential fabric are balanced by ordinary industrial and arterial areas.</x:v>
      </x:c>
      <x:c r="J30" s="9" t="str">
        <x:v>https://api.postcodes.io/places?q=Loughborough | https://api.postcodes.io/postcodes?lon=-1.206164&amp;lat=52.772100&amp;limit=1&amp;radius=2000 | https://data.police.uk/api/crimes-street/all-crime?lat=52.772100&amp;lng=-1.206164&amp;date=2026-07 | https://data.police.uk/docs/method/crime-street/</x:v>
      </x:c>
      <x:c r="K30" s="9" t="str">
        <x:v>https://www.gov.uk/government/statistical-data-sets/price-paid-data-downloads</x:v>
      </x:c>
      <x:c r="L30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30" s="9" t="str">
        <x:v>https://www.rightmove.co.uk/property-for-sale/find.html?locationIdentifier=REGION%5E871&amp;minBedrooms=1&amp;maxBedrooms=1&amp;propertyTypes=flat&amp;includeSSTC=false&amp;mustHave=&amp;dontShow=retirement%2CsharedOwnership&amp;furnishTypes=&amp;keywords= | https://www.rightmove.co.uk/property-to-rent/find.html?locationIdentifier=REGION%5E871&amp;minBedrooms=1&amp;maxBedrooms=1&amp;propertyTypes=flat&amp;includeSSTC=true&amp;mustHave=&amp;dontShow=houseShare%2Cretirement&amp;furnishTypes=&amp;keywords= | https://los.rightmove.co.uk/typeahead?query=Loughborough</x:v>
      </x:c>
      <x:c r="N30" s="9" t="str">
        <x:v>https://www.nationalrail.co.uk/journey-planner/ | https://www.traveline.info/</x:v>
      </x:c>
      <x:c r="O30" s="9" t="str">
        <x:v>https://www.gov.uk/government/publications/strategic-noise-mapping-2022/explaining-the-2022-noise-maps | https://www.gov.uk/government/statistics/english-indices-of-deprivation-2025 | https://www.openstreetmap.org/search?query=Loughborough%2C%20UK</x:v>
      </x:c>
    </x:row>
    <x:row r="31">
      <x:c r="A31" s="9" t="str">
        <x:v>Manchester</x:v>
      </x:c>
      <x:c r="B31" s="9" t="str">
        <x:v>Unknown: Greater Manchester Police crime data are unavailable on Police.uk; sparse point-query returns are cross-force records and cannot support a comparable indicator.</x:v>
      </x:c>
      <x:c r="C31" s="9" t="str">
        <x:v>Median of 4478 achieved standard flat/maisonette sales; this is an all-size flat screening proxy, not a one-bedroom estimate.</x:v>
      </x:c>
      <x:c r="D31" s="9" t="str">
        <x:v>Official one-bedroom modelled average for Manchester LA; underlying observation count is not published in the table.</x:v>
      </x:c>
      <x:c r="E31" s="9" t="str">
        <x:v>Rightmove's filtered snapshot returned 1372 sale and 1456 rental results; these are portal headline counts, not deduplicated properties, and the query does not verify tower stock.</x:v>
      </x:c>
      <x:c r="F31" s="9" t="str">
        <x:v>Broad screen indicates a dense multimodal network; this is a town-level judgement, not a neighbourhood accessibility audit.</x:v>
      </x:c>
      <x:c r="G31" s="9" t="str">
        <x:v>Approximate representative faster weekday journey from Manchester Piccadilly: London 125 min (0 changes), Birmingham 90 min (0 changes); recheck against the exact travel date.</x:v>
      </x:c>
      <x:c r="H31" s="9" t="str">
        <x:v>Dense road, tram and rail networks, major nightlife and airport-related activity make persistent quiet comparatively scarce.</x:v>
      </x:c>
      <x:c r="I31" s="9" t="str">
        <x:v>Extensive renewal, civic architecture and active public realm support a favourable score despite pronounced spatial inequality.</x:v>
      </x:c>
      <x:c r="J31" s="9" t="str">
        <x:v>https://api.postcodes.io/places?q=Manchester | https://api.postcodes.io/postcodes?lon=-2.245278&amp;lat=53.478940&amp;limit=1&amp;radius=2000 | https://data.police.uk/api/crimes-street/all-crime?lat=53.478940&amp;lng=-2.245278&amp;date=2026-07 | https://data.police.uk/docs/method/crime-street/ | https://data.police.uk/changelog/</x:v>
      </x:c>
      <x:c r="K31" s="9" t="str">
        <x:v>https://www.gov.uk/government/statistical-data-sets/price-paid-data-downloads</x:v>
      </x:c>
      <x:c r="L31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31" s="9" t="str">
        <x:v>https://www.rightmove.co.uk/property-for-sale/find.html?locationIdentifier=REGION%5E904&amp;minBedrooms=1&amp;maxBedrooms=1&amp;propertyTypes=flat&amp;includeSSTC=false&amp;mustHave=&amp;dontShow=retirement%2CsharedOwnership&amp;furnishTypes=&amp;keywords= | https://www.rightmove.co.uk/property-to-rent/find.html?locationIdentifier=REGION%5E904&amp;minBedrooms=1&amp;maxBedrooms=1&amp;propertyTypes=flat&amp;includeSSTC=true&amp;mustHave=&amp;dontShow=houseShare%2Cretirement&amp;furnishTypes=&amp;keywords= | https://los.rightmove.co.uk/typeahead?query=Manchester</x:v>
      </x:c>
      <x:c r="N31" s="9" t="str">
        <x:v>https://www.nationalrail.co.uk/journey-planner/ | https://www.traveline.info/ | https://tfgm.com/</x:v>
      </x:c>
      <x:c r="O31" s="9" t="str">
        <x:v>https://www.gov.uk/government/publications/strategic-noise-mapping-2022/explaining-the-2022-noise-maps | https://www.gov.uk/government/statistics/english-indices-of-deprivation-2025 | https://www.openstreetmap.org/search?query=Manchester%2C%20UK</x:v>
      </x:c>
    </x:row>
    <x:row r="32">
      <x:c r="A32" s="9" t="str">
        <x:v>Merthyr Tydfil</x:v>
      </x:c>
      <x:c r="B32" s="9" t="str">
        <x:v>Identical-radius centre proxy: 878 violence/sexual-offence and 417 ASB records in 12 months; relative composite places it in screening band 5/5, but this is not a population-normalised town or neighbourhood rate.</x:v>
      </x:c>
      <x:c r="C32" s="9" t="str">
        <x:v>Median of 22 achieved standard flat/maisonette sales; this is an all-size flat screening proxy, not a one-bedroom estimate.</x:v>
      </x:c>
      <x:c r="D32" s="9" t="str">
        <x:v>Official one-bedroom modelled average for Merthyr Tydfil LA; underlying observation count is not published in the table.</x:v>
      </x:c>
      <x:c r="E32" s="9" t="str">
        <x:v>Rightmove's filtered snapshot returned 3 sale and 3 rental results; these are portal headline counts, not deduplicated properties, and the query does not verify tower stock.</x:v>
      </x:c>
      <x:c r="F32" s="9" t="str">
        <x:v>Broad screen indicates basic bus and rail coverage with less network depth; this is a town-level judgement, not a neighbourhood accessibility audit.</x:v>
      </x:c>
      <x:c r="G32" s="9" t="str">
        <x:v>Approximate representative faster weekday journey from Merthyr Tydfil: London 205 min (1 change), Birmingham 185 min (2 changes); recheck against the exact travel date.</x:v>
      </x:c>
      <x:c r="H32" s="9" t="str">
        <x:v>The A470, valley rail and industrial legacy create linear noise corridors, while surrounding low-density landscape moderates the town-wide picture.</x:v>
      </x:c>
      <x:c r="I32" s="9" t="str">
        <x:v>Dramatic landscape and heritage are offset by concentrated deprivation and uneven post-industrial town fabric.</x:v>
      </x:c>
      <x:c r="J32" s="9" t="str">
        <x:v>https://api.postcodes.io/places?q=Merthyr%20Tydfil | https://api.postcodes.io/postcodes?lon=-3.378347&amp;lat=51.745911&amp;limit=1&amp;radius=2000 | https://data.police.uk/api/crimes-street/all-crime?lat=51.745911&amp;lng=-3.378347&amp;date=2026-07 | https://data.police.uk/docs/method/crime-street/</x:v>
      </x:c>
      <x:c r="K32" s="9" t="str">
        <x:v>https://www.gov.uk/government/statistical-data-sets/price-paid-data-downloads</x:v>
      </x:c>
      <x:c r="L32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32" s="9" t="str">
        <x:v>https://www.rightmove.co.uk/property-for-sale/find.html?locationIdentifier=REGION%5E931&amp;minBedrooms=1&amp;maxBedrooms=1&amp;propertyTypes=flat&amp;includeSSTC=false&amp;mustHave=&amp;dontShow=retirement%2CsharedOwnership&amp;furnishTypes=&amp;keywords= | https://www.rightmove.co.uk/property-to-rent/find.html?locationIdentifier=REGION%5E931&amp;minBedrooms=1&amp;maxBedrooms=1&amp;propertyTypes=flat&amp;includeSSTC=true&amp;mustHave=&amp;dontShow=houseShare%2Cretirement&amp;furnishTypes=&amp;keywords= | https://los.rightmove.co.uk/typeahead?query=Merthyr%20Tydfil</x:v>
      </x:c>
      <x:c r="N32" s="9" t="str">
        <x:v>https://www.nationalrail.co.uk/journey-planner/ | https://www.traveline.info/ | https://tfw.wales/</x:v>
      </x:c>
      <x:c r="O32" s="9" t="str">
        <x:v>https://datamap.gov.wales/layergroups/geonode%3AEnvironmental_Noise_Mapping_2022 | https://stats.gov.wales/en-GB/c67b9e08-dacc-439a-a244-2fce79b11400 | https://www.openstreetmap.org/search?query=Merthyr%20Tydfil%2C%20UK</x:v>
      </x:c>
    </x:row>
    <x:row r="33">
      <x:c r="A33" s="9" t="str">
        <x:v>Middlesbrough</x:v>
      </x:c>
      <x:c r="B33" s="9" t="str">
        <x:v>Identical-radius centre proxy: 3270 violence/sexual-offence and 1498 ASB records in 12 months; relative composite places it in screening band 2/5, but this is not a population-normalised town or neighbourhood rate.</x:v>
      </x:c>
      <x:c r="C33" s="9" t="str">
        <x:v>Median of 183 achieved standard flat/maisonette sales; this is an all-size flat screening proxy, not a one-bedroom estimate.</x:v>
      </x:c>
      <x:c r="D33" s="9" t="str">
        <x:v>Official one-bedroom modelled average for Middlesbrough LA; underlying observation count is not published in the table.</x:v>
      </x:c>
      <x:c r="E33" s="9" t="str">
        <x:v>Rightmove's filtered snapshot returned 14 sale and 50 rental results; these are portal headline counts, not deduplicated properties, and the query does not verify tower stock.</x:v>
      </x:c>
      <x:c r="F33" s="9" t="str">
        <x:v>Broad screen indicates a useful town/city bus-and-rail network; this is a town-level judgement, not a neighbourhood accessibility audit.</x:v>
      </x:c>
      <x:c r="G33" s="9" t="str">
        <x:v>Approximate representative faster weekday journey from Middlesbrough: London 180 min (0 changes), Birmingham 175 min (0 changes); recheck against the exact travel date.</x:v>
      </x:c>
      <x:c r="H33" s="9" t="str">
        <x:v>A66 traffic, rail, port and heavy Teesside industry create conspicuous and persistent noise sources.</x:v>
      </x:c>
      <x:c r="I33" s="9" t="str">
        <x:v>Regeneration and civic assets are outweighed in the broad screen by deprived, industrial and traffic-dominated fabric.</x:v>
      </x:c>
      <x:c r="J33" s="9" t="str">
        <x:v>https://api.postcodes.io/places?q=Middlesbrough | https://api.postcodes.io/postcodes?lon=-1.236825&amp;lat=54.576431&amp;limit=1&amp;radius=2000 | https://data.police.uk/api/crimes-street/all-crime?lat=54.576431&amp;lng=-1.236825&amp;date=2026-07 | https://data.police.uk/docs/method/crime-street/</x:v>
      </x:c>
      <x:c r="K33" s="9" t="str">
        <x:v>https://www.gov.uk/government/statistical-data-sets/price-paid-data-downloads</x:v>
      </x:c>
      <x:c r="L33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33" s="9" t="str">
        <x:v>https://www.rightmove.co.uk/property-for-sale/find.html?locationIdentifier=REGION%5E933&amp;minBedrooms=1&amp;maxBedrooms=1&amp;propertyTypes=flat&amp;includeSSTC=false&amp;mustHave=&amp;dontShow=retirement%2CsharedOwnership&amp;furnishTypes=&amp;keywords= | https://www.rightmove.co.uk/property-to-rent/find.html?locationIdentifier=REGION%5E933&amp;minBedrooms=1&amp;maxBedrooms=1&amp;propertyTypes=flat&amp;includeSSTC=true&amp;mustHave=&amp;dontShow=houseShare%2Cretirement&amp;furnishTypes=&amp;keywords= | https://los.rightmove.co.uk/typeahead?query=Middlesbrough</x:v>
      </x:c>
      <x:c r="N33" s="9" t="str">
        <x:v>https://www.nationalrail.co.uk/journey-planner/ | https://www.traveline.info/</x:v>
      </x:c>
      <x:c r="O33" s="9" t="str">
        <x:v>https://www.gov.uk/government/publications/strategic-noise-mapping-2022/explaining-the-2022-noise-maps | https://www.gov.uk/government/statistics/english-indices-of-deprivation-2025 | https://www.openstreetmap.org/search?query=Middlesbrough%2C%20UK</x:v>
      </x:c>
    </x:row>
    <x:row r="34">
      <x:c r="A34" s="9" t="str">
        <x:v>Neath</x:v>
      </x:c>
      <x:c r="B34" s="9" t="str">
        <x:v>Identical-radius centre proxy: 1009 violence/sexual-offence and 319 ASB records in 12 months; relative composite places it in screening band 5/5, but this is not a population-normalised town or neighbourhood rate.</x:v>
      </x:c>
      <x:c r="C34" s="9" t="str">
        <x:v>Median of 42 achieved standard flat/maisonette sales; this is an all-size flat screening proxy, not a one-bedroom estimate.</x:v>
      </x:c>
      <x:c r="D34" s="9" t="str">
        <x:v>Official one-bedroom modelled average for Neath Port Talbot LA; underlying observation count is not published in the table and the LA is broader than the named town.</x:v>
      </x:c>
      <x:c r="E34" s="9" t="str">
        <x:v>Rightmove's filtered snapshot returned 3 sale and 3 rental results; these are portal headline counts, not deduplicated properties, and the query does not verify tower stock.</x:v>
      </x:c>
      <x:c r="F34" s="9" t="str">
        <x:v>Broad screen indicates basic bus and rail coverage with less network depth; this is a town-level judgement, not a neighbourhood accessibility audit.</x:v>
      </x:c>
      <x:c r="G34" s="9" t="str">
        <x:v>Approximate representative faster weekday journey from Neath: London 150 min (0 changes), Birmingham 165 min (1 change); recheck against the exact travel date.</x:v>
      </x:c>
      <x:c r="H34" s="9" t="str">
        <x:v>M4, rail and nearby industry create strong linear noise sources, but the smaller centre and valley setting moderate intensity.</x:v>
      </x:c>
      <x:c r="I34" s="9" t="str">
        <x:v>Historic and landscape assets are balanced by traffic, industry and uneven post-industrial fabric.</x:v>
      </x:c>
      <x:c r="J34" s="9" t="str">
        <x:v>https://api.postcodes.io/places?q=Neath | https://api.postcodes.io/postcodes?lon=-3.803389&amp;lat=51.664226&amp;limit=1&amp;radius=2000 | https://data.police.uk/api/crimes-street/all-crime?lat=51.664226&amp;lng=-3.803389&amp;date=2026-07 | https://data.police.uk/docs/method/crime-street/</x:v>
      </x:c>
      <x:c r="K34" s="9" t="str">
        <x:v>https://www.gov.uk/government/statistical-data-sets/price-paid-data-downloads</x:v>
      </x:c>
      <x:c r="L34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34" s="9" t="str">
        <x:v>https://www.rightmove.co.uk/property-for-sale/find.html?locationIdentifier=REGION%5E968&amp;minBedrooms=1&amp;maxBedrooms=1&amp;propertyTypes=flat&amp;includeSSTC=false&amp;mustHave=&amp;dontShow=retirement%2CsharedOwnership&amp;furnishTypes=&amp;keywords= | https://www.rightmove.co.uk/property-to-rent/find.html?locationIdentifier=REGION%5E968&amp;minBedrooms=1&amp;maxBedrooms=1&amp;propertyTypes=flat&amp;includeSSTC=true&amp;mustHave=&amp;dontShow=houseShare%2Cretirement&amp;furnishTypes=&amp;keywords= | https://los.rightmove.co.uk/typeahead?query=Neath</x:v>
      </x:c>
      <x:c r="N34" s="9" t="str">
        <x:v>https://www.nationalrail.co.uk/journey-planner/ | https://www.traveline.info/ | https://tfw.wales/</x:v>
      </x:c>
      <x:c r="O34" s="9" t="str">
        <x:v>https://datamap.gov.wales/layergroups/geonode%3AEnvironmental_Noise_Mapping_2022 | https://stats.gov.wales/en-GB/c67b9e08-dacc-439a-a244-2fce79b11400 | https://www.openstreetmap.org/search?query=Neath%2C%20UK</x:v>
      </x:c>
    </x:row>
    <x:row r="35">
      <x:c r="A35" s="9" t="str">
        <x:v>Newcastle upon Tyne</x:v>
      </x:c>
      <x:c r="B35" s="9" t="str">
        <x:v>Identical-radius centre proxy: 3596 violence/sexual-offence and 2989 ASB records in 12 months; relative composite places it in screening band 1/5, but this is not a population-normalised town or neighbourhood rate.</x:v>
      </x:c>
      <x:c r="C35" s="9" t="str">
        <x:v>Median of 1733 achieved standard flat/maisonette sales; this is an all-size flat screening proxy, not a one-bedroom estimate.</x:v>
      </x:c>
      <x:c r="D35" s="9" t="str">
        <x:v>Official one-bedroom modelled average for Newcastle upon Tyne LA; underlying observation count is not published in the table.</x:v>
      </x:c>
      <x:c r="E35" s="9" t="str">
        <x:v>Rightmove's filtered snapshot returned 119 sale and 124 rental results; these are portal headline counts, not deduplicated properties, and the query does not verify tower stock.</x:v>
      </x:c>
      <x:c r="F35" s="9" t="str">
        <x:v>Broad screen indicates a dense multimodal network; this is a town-level judgement, not a neighbourhood accessibility audit.</x:v>
      </x:c>
      <x:c r="G35" s="9" t="str">
        <x:v>Approximate representative faster weekday journey from Newcastle: London 170 min (0 changes), Birmingham 185 min (0 changes); recheck against the exact travel date.</x:v>
      </x:c>
      <x:c r="H35" s="9" t="str">
        <x:v>A1/A167 traffic, rail, metro and a major nightlife core make central quietness comparatively weak.</x:v>
      </x:c>
      <x:c r="I35" s="9" t="str">
        <x:v>Strong historic streets, river setting and public realm support a favourable condition score despite uneven outer fabric.</x:v>
      </x:c>
      <x:c r="J35" s="9" t="str">
        <x:v>https://api.postcodes.io/places?q=Newcastle%20upon%20Tyne | https://api.postcodes.io/postcodes?lon=-1.610189&amp;lat=54.978011&amp;limit=1&amp;radius=2000 | https://data.police.uk/api/crimes-street/all-crime?lat=54.978011&amp;lng=-1.610189&amp;date=2026-07 | https://data.police.uk/docs/method/crime-street/</x:v>
      </x:c>
      <x:c r="K35" s="9" t="str">
        <x:v>https://www.gov.uk/government/statistical-data-sets/price-paid-data-downloads</x:v>
      </x:c>
      <x:c r="L35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35" s="9" t="str">
        <x:v>https://www.rightmove.co.uk/property-for-sale/find.html?locationIdentifier=REGION%5E984&amp;minBedrooms=1&amp;maxBedrooms=1&amp;propertyTypes=flat&amp;includeSSTC=false&amp;mustHave=&amp;dontShow=retirement%2CsharedOwnership&amp;furnishTypes=&amp;keywords= | https://www.rightmove.co.uk/property-to-rent/find.html?locationIdentifier=REGION%5E984&amp;minBedrooms=1&amp;maxBedrooms=1&amp;propertyTypes=flat&amp;includeSSTC=true&amp;mustHave=&amp;dontShow=houseShare%2Cretirement&amp;furnishTypes=&amp;keywords= | https://los.rightmove.co.uk/typeahead?query=Newcastle%20upon%20Tyne</x:v>
      </x:c>
      <x:c r="N35" s="9" t="str">
        <x:v>https://www.nationalrail.co.uk/journey-planner/ | https://www.traveline.info/ | https://www.nexus.org.uk/</x:v>
      </x:c>
      <x:c r="O35" s="9" t="str">
        <x:v>https://www.gov.uk/government/publications/strategic-noise-mapping-2022/explaining-the-2022-noise-maps | https://www.gov.uk/government/statistics/english-indices-of-deprivation-2025 | https://www.openstreetmap.org/search?query=Newcastle%20upon%20Tyne%2C%20UK</x:v>
      </x:c>
    </x:row>
    <x:row r="36">
      <x:c r="A36" s="9" t="str">
        <x:v>Newport</x:v>
      </x:c>
      <x:c r="B36" s="9" t="str">
        <x:v>Identical-radius centre proxy: 3122 violence/sexual-offence and 2020 ASB records in 12 months; relative composite places it in screening band 2/5, but this is not a population-normalised town or neighbourhood rate.</x:v>
      </x:c>
      <x:c r="C36" s="9" t="str">
        <x:v>Median of 541 achieved standard flat/maisonette sales; this is an all-size flat screening proxy, not a one-bedroom estimate.</x:v>
      </x:c>
      <x:c r="D36" s="9" t="str">
        <x:v>Official one-bedroom modelled average for Newport LA; underlying observation count is not published in the table.</x:v>
      </x:c>
      <x:c r="E36" s="9" t="str">
        <x:v>Rightmove's filtered snapshot returned 31 sale and 43 rental results; these are portal headline counts, not deduplicated properties, and the query does not verify tower stock.</x:v>
      </x:c>
      <x:c r="F36" s="9" t="str">
        <x:v>Broad screen indicates a useful town/city bus-and-rail network; this is a town-level judgement, not a neighbourhood accessibility audit.</x:v>
      </x:c>
      <x:c r="G36" s="9" t="str">
        <x:v>Approximate representative faster weekday journey from Newport (South Wales): London 100 min (0 changes), Birmingham 105 min (0 changes); recheck against the exact travel date.</x:v>
      </x:c>
      <x:c r="H36" s="9" t="str">
        <x:v>M4, dense rail approaches, port industry and arterial traffic create multiple persistent noise corridors.</x:v>
      </x:c>
      <x:c r="I36" s="9" t="str">
        <x:v>Riverfront renewal and heritage pockets are offset by substantial deprived, traffic-heavy and post-industrial fabric.</x:v>
      </x:c>
      <x:c r="J36" s="9" t="str">
        <x:v>https://api.postcodes.io/places?q=Casnewydd | https://api.postcodes.io/postcodes?lon=-2.996742&amp;lat=51.587902&amp;limit=1&amp;radius=2000 | https://data.police.uk/api/crimes-street/all-crime?lat=51.587902&amp;lng=-2.996742&amp;date=2026-07 | https://data.police.uk/docs/method/crime-street/</x:v>
      </x:c>
      <x:c r="K36" s="9" t="str">
        <x:v>https://www.gov.uk/government/statistical-data-sets/price-paid-data-downloads</x:v>
      </x:c>
      <x:c r="L36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36" s="9" t="str">
        <x:v>https://www.rightmove.co.uk/property-for-sale/find.html?locationIdentifier=REGION%5E991&amp;minBedrooms=1&amp;maxBedrooms=1&amp;propertyTypes=flat&amp;includeSSTC=false&amp;mustHave=&amp;dontShow=retirement%2CsharedOwnership&amp;furnishTypes=&amp;keywords= | https://www.rightmove.co.uk/property-to-rent/find.html?locationIdentifier=REGION%5E991&amp;minBedrooms=1&amp;maxBedrooms=1&amp;propertyTypes=flat&amp;includeSSTC=true&amp;mustHave=&amp;dontShow=houseShare%2Cretirement&amp;furnishTypes=&amp;keywords= | https://los.rightmove.co.uk/typeahead?query=Newport</x:v>
      </x:c>
      <x:c r="N36" s="9" t="str">
        <x:v>https://www.nationalrail.co.uk/journey-planner/ | https://www.traveline.info/ | https://tfw.wales/</x:v>
      </x:c>
      <x:c r="O36" s="9" t="str">
        <x:v>https://datamap.gov.wales/layergroups/geonode%3AEnvironmental_Noise_Mapping_2022 | https://stats.gov.wales/en-GB/c67b9e08-dacc-439a-a244-2fce79b11400 | https://www.openstreetmap.org/search?query=Newport%2C%20UK</x:v>
      </x:c>
    </x:row>
    <x:row r="37">
      <x:c r="A37" s="9" t="str">
        <x:v>Northampton</x:v>
      </x:c>
      <x:c r="B37" s="9" t="str">
        <x:v>Identical-radius centre proxy: 3637 violence/sexual-offence and 2665 ASB records in 12 months; relative composite places it in screening band 1/5, but this is not a population-normalised town or neighbourhood rate.</x:v>
      </x:c>
      <x:c r="C37" s="9" t="str">
        <x:v>Median of 717 achieved standard flat/maisonette sales; this is an all-size flat screening proxy, not a one-bedroom estimate.</x:v>
      </x:c>
      <x:c r="D37" s="9" t="str">
        <x:v>Official one-bedroom modelled average for West Northamptonshire LA; underlying observation count is not published in the table and the LA is broader than the named town.</x:v>
      </x:c>
      <x:c r="E37" s="9" t="str">
        <x:v>Rightmove's filtered snapshot returned 104 sale and 137 rental results; these are portal headline counts, not deduplicated properties, and the query does not verify tower stock.</x:v>
      </x:c>
      <x:c r="F37" s="9" t="str">
        <x:v>Broad screen indicates a useful town/city bus-and-rail network; this is a town-level judgement, not a neighbourhood accessibility audit.</x:v>
      </x:c>
      <x:c r="G37" s="9" t="str">
        <x:v>Approximate representative faster weekday journey from Northampton: London 60 min (0 changes), Birmingham 60 min (0 changes); recheck against the exact travel date.</x:v>
      </x:c>
      <x:c r="H37" s="9" t="str">
        <x:v>M1/A45 traffic, a major rail corridor and extensive logistics activity create notable noise exposure.</x:v>
      </x:c>
      <x:c r="I37" s="9" t="str">
        <x:v>Historic and maintained residential pockets are balanced by road-dominated growth and uneven central fabric.</x:v>
      </x:c>
      <x:c r="J37" s="9" t="str">
        <x:v>https://api.postcodes.io/places?q=Northampton | https://api.postcodes.io/postcodes?lon=-0.895046&amp;lat=52.237858&amp;limit=1&amp;radius=2000 | https://data.police.uk/api/crimes-street/all-crime?lat=52.237858&amp;lng=-0.895046&amp;date=2026-07 | https://data.police.uk/docs/method/crime-street/</x:v>
      </x:c>
      <x:c r="K37" s="9" t="str">
        <x:v>https://www.gov.uk/government/statistical-data-sets/price-paid-data-downloads</x:v>
      </x:c>
      <x:c r="L37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37" s="9" t="str">
        <x:v>https://www.rightmove.co.uk/property-for-sale/find.html?locationIdentifier=REGION%5E1014&amp;minBedrooms=1&amp;maxBedrooms=1&amp;propertyTypes=flat&amp;includeSSTC=false&amp;mustHave=&amp;dontShow=retirement%2CsharedOwnership&amp;furnishTypes=&amp;keywords= | https://www.rightmove.co.uk/property-to-rent/find.html?locationIdentifier=REGION%5E1014&amp;minBedrooms=1&amp;maxBedrooms=1&amp;propertyTypes=flat&amp;includeSSTC=true&amp;mustHave=&amp;dontShow=houseShare%2Cretirement&amp;furnishTypes=&amp;keywords= | https://los.rightmove.co.uk/typeahead?query=Northampton</x:v>
      </x:c>
      <x:c r="N37" s="9" t="str">
        <x:v>https://www.nationalrail.co.uk/journey-planner/ | https://www.traveline.info/</x:v>
      </x:c>
      <x:c r="O37" s="9" t="str">
        <x:v>https://www.gov.uk/government/publications/strategic-noise-mapping-2022/explaining-the-2022-noise-maps | https://www.gov.uk/government/statistics/english-indices-of-deprivation-2025 | https://www.openstreetmap.org/search?query=Northampton%2C%20UK</x:v>
      </x:c>
    </x:row>
    <x:row r="38">
      <x:c r="A38" s="9" t="str">
        <x:v>Norwich</x:v>
      </x:c>
      <x:c r="B38" s="9" t="str">
        <x:v>Identical-radius centre proxy: 3200 violence/sexual-offence and 1530 ASB records in 12 months; relative composite places it in screening band 2/5, but this is not a population-normalised town or neighbourhood rate.</x:v>
      </x:c>
      <x:c r="C38" s="9" t="str">
        <x:v>Median of 1272 achieved standard flat/maisonette sales; this is an all-size flat screening proxy, not a one-bedroom estimate.</x:v>
      </x:c>
      <x:c r="D38" s="9" t="str">
        <x:v>Official one-bedroom modelled average for Norwich LA; underlying observation count is not published in the table.</x:v>
      </x:c>
      <x:c r="E38" s="9" t="str">
        <x:v>Rightmove's filtered snapshot returned 144 sale and 112 rental results; these are portal headline counts, not deduplicated properties, and the query does not verify tower stock.</x:v>
      </x:c>
      <x:c r="F38" s="9" t="str">
        <x:v>Broad screen indicates a useful town/city bus-and-rail network; this is a town-level judgement, not a neighbourhood accessibility audit.</x:v>
      </x:c>
      <x:c r="G38" s="9" t="str">
        <x:v>Approximate representative faster weekday journey from Norwich: London 110 min (0 changes), Birmingham 210 min (1 change); recheck against the exact travel date.</x:v>
      </x:c>
      <x:c r="H38" s="9" t="str">
        <x:v>With no urban motorway, noise is concentrated on ring roads, rail and the nightlife core rather than dominating city-wide.</x:v>
      </x:c>
      <x:c r="I38" s="9" t="str">
        <x:v>Exceptionally coherent historic fabric, waterways, parks and a generally attractive centre support the highest condition score.</x:v>
      </x:c>
      <x:c r="J38" s="9" t="str">
        <x:v>https://api.postcodes.io/places?q=Norwich | https://api.postcodes.io/postcodes?lon=1.293307&amp;lat=52.628869&amp;limit=1&amp;radius=2000 | https://data.police.uk/api/crimes-street/all-crime?lat=52.628869&amp;lng=1.293307&amp;date=2026-07 | https://data.police.uk/docs/method/crime-street/</x:v>
      </x:c>
      <x:c r="K38" s="9" t="str">
        <x:v>https://www.gov.uk/government/statistical-data-sets/price-paid-data-downloads</x:v>
      </x:c>
      <x:c r="L38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38" s="9" t="str">
        <x:v>https://www.rightmove.co.uk/property-for-sale/find.html?locationIdentifier=REGION%5E1018&amp;minBedrooms=1&amp;maxBedrooms=1&amp;propertyTypes=flat&amp;includeSSTC=false&amp;mustHave=&amp;dontShow=retirement%2CsharedOwnership&amp;furnishTypes=&amp;keywords= | https://www.rightmove.co.uk/property-to-rent/find.html?locationIdentifier=REGION%5E1018&amp;minBedrooms=1&amp;maxBedrooms=1&amp;propertyTypes=flat&amp;includeSSTC=true&amp;mustHave=&amp;dontShow=houseShare%2Cretirement&amp;furnishTypes=&amp;keywords= | https://los.rightmove.co.uk/typeahead?query=Norwich</x:v>
      </x:c>
      <x:c r="N38" s="9" t="str">
        <x:v>https://www.nationalrail.co.uk/journey-planner/ | https://www.traveline.info/</x:v>
      </x:c>
      <x:c r="O38" s="9" t="str">
        <x:v>https://www.gov.uk/government/publications/strategic-noise-mapping-2022/explaining-the-2022-noise-maps | https://www.gov.uk/government/statistics/english-indices-of-deprivation-2025 | https://www.openstreetmap.org/search?query=Norwich%2C%20UK</x:v>
      </x:c>
    </x:row>
    <x:row r="39">
      <x:c r="A39" s="9" t="str">
        <x:v>Nottingham</x:v>
      </x:c>
      <x:c r="B39" s="9" t="str">
        <x:v>Identical-radius centre proxy: 5448 violence/sexual-offence and 3157 ASB records in 12 months; relative composite places it in screening band 1/5, but this is not a population-normalised town or neighbourhood rate.</x:v>
      </x:c>
      <x:c r="C39" s="9" t="str">
        <x:v>Median of 1524 achieved standard flat/maisonette sales; this is an all-size flat screening proxy, not a one-bedroom estimate.</x:v>
      </x:c>
      <x:c r="D39" s="9" t="str">
        <x:v>Official one-bedroom modelled average for Nottingham LA; underlying observation count is not published in the table.</x:v>
      </x:c>
      <x:c r="E39" s="9" t="str">
        <x:v>Rightmove's filtered snapshot returned 225 sale and 509 rental results; these are portal headline counts, not deduplicated properties, and the query does not verify tower stock.</x:v>
      </x:c>
      <x:c r="F39" s="9" t="str">
        <x:v>Broad screen indicates a dense multimodal network; this is a town-level judgement, not a neighbourhood accessibility audit.</x:v>
      </x:c>
      <x:c r="G39" s="9" t="str">
        <x:v>Approximate representative faster weekday journey from Nottingham: London 100 min (0 changes), Birmingham 75 min (0 changes); recheck against the exact travel date.</x:v>
      </x:c>
      <x:c r="H39" s="9" t="str">
        <x:v>Ring roads, rail, tram corridors and a major nightlife economy create substantial urban noise pressure.</x:v>
      </x:c>
      <x:c r="I39" s="9" t="str">
        <x:v>Historic, civic and renewed central districts plus strong parks support a favourable score despite spatial variation.</x:v>
      </x:c>
      <x:c r="J39" s="9" t="str">
        <x:v>https://api.postcodes.io/places?q=Nottingham | https://api.postcodes.io/postcodes?lon=-1.151204&amp;lat=52.956196&amp;limit=1&amp;radius=2000 | https://data.police.uk/api/crimes-street/all-crime?lat=52.956196&amp;lng=-1.151204&amp;date=2026-07 | https://data.police.uk/docs/method/crime-street/</x:v>
      </x:c>
      <x:c r="K39" s="9" t="str">
        <x:v>https://www.gov.uk/government/statistical-data-sets/price-paid-data-downloads</x:v>
      </x:c>
      <x:c r="L39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39" s="9" t="str">
        <x:v>https://www.rightmove.co.uk/property-for-sale/find.html?locationIdentifier=REGION%5E1019&amp;minBedrooms=1&amp;maxBedrooms=1&amp;propertyTypes=flat&amp;includeSSTC=false&amp;mustHave=&amp;dontShow=retirement%2CsharedOwnership&amp;furnishTypes=&amp;keywords= | https://www.rightmove.co.uk/property-to-rent/find.html?locationIdentifier=REGION%5E1019&amp;minBedrooms=1&amp;maxBedrooms=1&amp;propertyTypes=flat&amp;includeSSTC=true&amp;mustHave=&amp;dontShow=houseShare%2Cretirement&amp;furnishTypes=&amp;keywords= | https://los.rightmove.co.uk/typeahead?query=Nottingham</x:v>
      </x:c>
      <x:c r="N39" s="9" t="str">
        <x:v>https://www.nationalrail.co.uk/journey-planner/ | https://www.traveline.info/ | https://www.transportnottingham.com/</x:v>
      </x:c>
      <x:c r="O39" s="9" t="str">
        <x:v>https://www.gov.uk/government/publications/strategic-noise-mapping-2022/explaining-the-2022-noise-maps | https://www.gov.uk/government/statistics/english-indices-of-deprivation-2025 | https://www.openstreetmap.org/search?query=Nottingham%2C%20UK</x:v>
      </x:c>
    </x:row>
    <x:row r="40">
      <x:c r="A40" s="9" t="str">
        <x:v>Peterborough</x:v>
      </x:c>
      <x:c r="B40" s="9" t="str">
        <x:v>Identical-radius centre proxy: 3013 violence/sexual-offence and 1510 ASB records in 12 months; relative composite places it in screening band 2/5, but this is not a population-normalised town or neighbourhood rate.</x:v>
      </x:c>
      <x:c r="C40" s="9" t="str">
        <x:v>Median of 420 achieved standard flat/maisonette sales; this is an all-size flat screening proxy, not a one-bedroom estimate.</x:v>
      </x:c>
      <x:c r="D40" s="9" t="str">
        <x:v>Official one-bedroom modelled average for Peterborough LA; underlying observation count is not published in the table.</x:v>
      </x:c>
      <x:c r="E40" s="9" t="str">
        <x:v>Rightmove's filtered snapshot returned 91 sale and 134 rental results; these are portal headline counts, not deduplicated properties, and the query does not verify tower stock.</x:v>
      </x:c>
      <x:c r="F40" s="9" t="str">
        <x:v>Broad screen indicates a useful town/city bus-and-rail network; this is a town-level judgement, not a neighbourhood accessibility audit.</x:v>
      </x:c>
      <x:c r="G40" s="9" t="str">
        <x:v>Approximate representative faster weekday journey from Peterborough: London 50 min (0 changes), Birmingham 100 min (0 changes); recheck against the exact travel date.</x:v>
      </x:c>
      <x:c r="H40" s="9" t="str">
        <x:v>A1/A47 traffic, a very busy rail corridor and logistics/industrial land create multiple persistent noise sources.</x:v>
      </x:c>
      <x:c r="I40" s="9" t="str">
        <x:v>Cathedral and riverside assets are balanced by traffic-dominated modern growth and uneven central/edge fabric.</x:v>
      </x:c>
      <x:c r="J40" s="9" t="str">
        <x:v>https://api.postcodes.io/places?q=Peterborough | https://api.postcodes.io/postcodes?lon=-0.242498&amp;lat=52.572509&amp;limit=1&amp;radius=2000 | https://data.police.uk/api/crimes-street/all-crime?lat=52.572509&amp;lng=-0.242498&amp;date=2026-07 | https://data.police.uk/docs/method/crime-street/</x:v>
      </x:c>
      <x:c r="K40" s="9" t="str">
        <x:v>https://www.gov.uk/government/statistical-data-sets/price-paid-data-downloads</x:v>
      </x:c>
      <x:c r="L40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40" s="9" t="str">
        <x:v>https://www.rightmove.co.uk/property-for-sale/find.html?locationIdentifier=REGION%5E1061&amp;minBedrooms=1&amp;maxBedrooms=1&amp;propertyTypes=flat&amp;includeSSTC=false&amp;mustHave=&amp;dontShow=retirement%2CsharedOwnership&amp;furnishTypes=&amp;keywords= | https://www.rightmove.co.uk/property-to-rent/find.html?locationIdentifier=REGION%5E1061&amp;minBedrooms=1&amp;maxBedrooms=1&amp;propertyTypes=flat&amp;includeSSTC=true&amp;mustHave=&amp;dontShow=houseShare%2Cretirement&amp;furnishTypes=&amp;keywords= | https://los.rightmove.co.uk/typeahead?query=Peterborough</x:v>
      </x:c>
      <x:c r="N40" s="9" t="str">
        <x:v>https://www.nationalrail.co.uk/journey-planner/ | https://www.traveline.info/</x:v>
      </x:c>
      <x:c r="O40" s="9" t="str">
        <x:v>https://www.gov.uk/government/publications/strategic-noise-mapping-2022/explaining-the-2022-noise-maps | https://www.gov.uk/government/statistics/english-indices-of-deprivation-2025 | https://www.openstreetmap.org/search?query=Peterborough%2C%20UK</x:v>
      </x:c>
    </x:row>
    <x:row r="41">
      <x:c r="A41" s="9" t="str">
        <x:v>Plymouth</x:v>
      </x:c>
      <x:c r="B41" s="9" t="str">
        <x:v>Identical-radius centre proxy: 4645 violence/sexual-offence and 2025 ASB records in 12 months; relative composite places it in screening band 1/5, but this is not a population-normalised town or neighbourhood rate.</x:v>
      </x:c>
      <x:c r="C41" s="9" t="str">
        <x:v>Median of 1343 achieved standard flat/maisonette sales; this is an all-size flat screening proxy, not a one-bedroom estimate.</x:v>
      </x:c>
      <x:c r="D41" s="9" t="str">
        <x:v>Official one-bedroom modelled average for Plymouth LA; underlying observation count is not published in the table.</x:v>
      </x:c>
      <x:c r="E41" s="9" t="str">
        <x:v>Rightmove's filtered snapshot returned 147 sale and 124 rental results; these are portal headline counts, not deduplicated properties, and the query does not verify tower stock.</x:v>
      </x:c>
      <x:c r="F41" s="9" t="str">
        <x:v>Broad screen indicates a useful town/city bus-and-rail network; this is a town-level judgement, not a neighbourhood accessibility audit.</x:v>
      </x:c>
      <x:c r="G41" s="9" t="str">
        <x:v>Approximate representative faster weekday journey from Plymouth: London 190 min (0 changes), Birmingham 205 min (0 changes); recheck against the exact travel date.</x:v>
      </x:c>
      <x:c r="H41" s="9" t="str">
        <x:v>A38, rail, naval/port activity and nightlife create noise corridors, while coastal topography provides lower-intensity areas.</x:v>
      </x:c>
      <x:c r="I41" s="9" t="str">
        <x:v>Waterfront, parks and historic assets support a favourable judgement despite reconstructed and uneven inner fabric.</x:v>
      </x:c>
      <x:c r="J41" s="9" t="str">
        <x:v>https://api.postcodes.io/places?q=Plymouth | https://api.postcodes.io/postcodes?lon=-4.142068&amp;lat=50.370015&amp;limit=1&amp;radius=2000 | https://data.police.uk/api/crimes-street/all-crime?lat=50.370015&amp;lng=-4.142068&amp;date=2026-07 | https://data.police.uk/docs/method/crime-street/</x:v>
      </x:c>
      <x:c r="K41" s="9" t="str">
        <x:v>https://www.gov.uk/government/statistical-data-sets/price-paid-data-downloads</x:v>
      </x:c>
      <x:c r="L41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41" s="9" t="str">
        <x:v>https://www.rightmove.co.uk/property-for-sale/find.html?locationIdentifier=REGION%5E1073&amp;minBedrooms=1&amp;maxBedrooms=1&amp;propertyTypes=flat&amp;includeSSTC=false&amp;mustHave=&amp;dontShow=retirement%2CsharedOwnership&amp;furnishTypes=&amp;keywords= | https://www.rightmove.co.uk/property-to-rent/find.html?locationIdentifier=REGION%5E1073&amp;minBedrooms=1&amp;maxBedrooms=1&amp;propertyTypes=flat&amp;includeSSTC=true&amp;mustHave=&amp;dontShow=houseShare%2Cretirement&amp;furnishTypes=&amp;keywords= | https://los.rightmove.co.uk/typeahead?query=Plymouth</x:v>
      </x:c>
      <x:c r="N41" s="9" t="str">
        <x:v>https://www.nationalrail.co.uk/journey-planner/ | https://www.traveline.info/</x:v>
      </x:c>
      <x:c r="O41" s="9" t="str">
        <x:v>https://www.gov.uk/government/publications/strategic-noise-mapping-2022/explaining-the-2022-noise-maps | https://www.gov.uk/government/statistics/english-indices-of-deprivation-2025 | https://www.openstreetmap.org/search?query=Plymouth%2C%20UK</x:v>
      </x:c>
    </x:row>
    <x:row r="42">
      <x:c r="A42" s="9" t="str">
        <x:v>Portsmouth</x:v>
      </x:c>
      <x:c r="B42" s="9" t="str">
        <x:v>Identical-radius centre proxy: 4741 violence/sexual-offence and 1484 ASB records in 12 months; relative composite places it in screening band 2/5, but this is not a population-normalised town or neighbourhood rate.</x:v>
      </x:c>
      <x:c r="C42" s="9" t="str">
        <x:v>Median of 541 achieved standard flat/maisonette sales; this is an all-size flat screening proxy, not a one-bedroom estimate.</x:v>
      </x:c>
      <x:c r="D42" s="9" t="str">
        <x:v>Official one-bedroom modelled average for Portsmouth LA; underlying observation count is not published in the table.</x:v>
      </x:c>
      <x:c r="E42" s="9" t="str">
        <x:v>Rightmove's filtered snapshot returned 177 sale and 176 rental results; these are portal headline counts, not deduplicated properties, and the query does not verify tower stock.</x:v>
      </x:c>
      <x:c r="F42" s="9" t="str">
        <x:v>Broad screen indicates a useful town/city bus-and-rail network; this is a town-level judgement, not a neighbourhood accessibility audit.</x:v>
      </x:c>
      <x:c r="G42" s="9" t="str">
        <x:v>Approximate representative faster weekday journey from Portsmouth &amp; Southsea: London 95 min (0 changes), Birmingham 165 min (0 changes); recheck against the exact travel date.</x:v>
      </x:c>
      <x:c r="H42" s="9" t="str">
        <x:v>Dense island roads, rail, ferry/naval port activity and nightlife make quietness relatively difficult at city scale.</x:v>
      </x:c>
      <x:c r="I42" s="9" t="str">
        <x:v>Historic waterfront, seafront and coherent terraces support pleasantness, despite density and traffic pressure.</x:v>
      </x:c>
      <x:c r="J42" s="9" t="str">
        <x:v>https://api.postcodes.io/places?q=Portsmouth | https://api.postcodes.io/postcodes?lon=-1.091170&amp;lat=50.796850&amp;limit=1&amp;radius=2000 | https://data.police.uk/api/crimes-street/all-crime?lat=50.796850&amp;lng=-1.091170&amp;date=2026-07 | https://data.police.uk/docs/method/crime-street/</x:v>
      </x:c>
      <x:c r="K42" s="9" t="str">
        <x:v>https://www.gov.uk/government/statistical-data-sets/price-paid-data-downloads</x:v>
      </x:c>
      <x:c r="L42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42" s="9" t="str">
        <x:v>https://www.rightmove.co.uk/property-for-sale/find.html?locationIdentifier=REGION%5E1089&amp;minBedrooms=1&amp;maxBedrooms=1&amp;propertyTypes=flat&amp;includeSSTC=false&amp;mustHave=&amp;dontShow=retirement%2CsharedOwnership&amp;furnishTypes=&amp;keywords= | https://www.rightmove.co.uk/property-to-rent/find.html?locationIdentifier=REGION%5E1089&amp;minBedrooms=1&amp;maxBedrooms=1&amp;propertyTypes=flat&amp;includeSSTC=true&amp;mustHave=&amp;dontShow=houseShare%2Cretirement&amp;furnishTypes=&amp;keywords= | https://los.rightmove.co.uk/typeahead?query=Portsmouth</x:v>
      </x:c>
      <x:c r="N42" s="9" t="str">
        <x:v>https://www.nationalrail.co.uk/journey-planner/ | https://www.traveline.info/</x:v>
      </x:c>
      <x:c r="O42" s="9" t="str">
        <x:v>https://www.gov.uk/government/publications/strategic-noise-mapping-2022/explaining-the-2022-noise-maps | https://www.gov.uk/government/statistics/english-indices-of-deprivation-2025 | https://www.openstreetmap.org/search?query=Portsmouth%2C%20UK</x:v>
      </x:c>
    </x:row>
    <x:row r="43">
      <x:c r="A43" s="9" t="str">
        <x:v>Preston</x:v>
      </x:c>
      <x:c r="B43" s="9" t="str">
        <x:v>Identical-radius centre proxy: 3087 violence/sexual-offence and 2352 ASB records in 12 months; relative composite places it in screening band 2/5, but this is not a population-normalised town or neighbourhood rate.</x:v>
      </x:c>
      <x:c r="C43" s="9" t="str">
        <x:v>Median of 470 achieved standard flat/maisonette sales; this is an all-size flat screening proxy, not a one-bedroom estimate.</x:v>
      </x:c>
      <x:c r="D43" s="9" t="str">
        <x:v>Official one-bedroom modelled average for Preston LA; underlying observation count is not published in the table.</x:v>
      </x:c>
      <x:c r="E43" s="9" t="str">
        <x:v>Rightmove's filtered snapshot returned 72 sale and 136 rental results; these are portal headline counts, not deduplicated properties, and the query does not verify tower stock.</x:v>
      </x:c>
      <x:c r="F43" s="9" t="str">
        <x:v>Broad screen indicates a useful town/city bus-and-rail network; this is a town-level judgement, not a neighbourhood accessibility audit.</x:v>
      </x:c>
      <x:c r="G43" s="9" t="str">
        <x:v>Approximate representative faster weekday journey from Preston: London 130 min (0 changes), Birmingham 100 min (0 changes); recheck against the exact travel date.</x:v>
      </x:c>
      <x:c r="H43" s="9" t="str">
        <x:v>M6/M55 approaches, major rail, ring-road traffic and nightlife create substantial transport-noise exposure.</x:v>
      </x:c>
      <x:c r="I43" s="9" t="str">
        <x:v>Civic and park assets are balanced by traffic-heavy approaches and uneven centre/industrial fabric.</x:v>
      </x:c>
      <x:c r="J43" s="9" t="str">
        <x:v>https://api.postcodes.io/places?q=Preston | https://api.postcodes.io/postcodes?lon=-2.698528&amp;lat=53.760554&amp;limit=1&amp;radius=2000 | https://data.police.uk/api/crimes-street/all-crime?lat=53.760554&amp;lng=-2.698528&amp;date=2026-07 | https://data.police.uk/docs/method/crime-street/</x:v>
      </x:c>
      <x:c r="K43" s="9" t="str">
        <x:v>https://www.gov.uk/government/statistical-data-sets/price-paid-data-downloads</x:v>
      </x:c>
      <x:c r="L43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43" s="9" t="str">
        <x:v>https://www.rightmove.co.uk/property-for-sale/find.html?locationIdentifier=REGION%5E1097&amp;minBedrooms=1&amp;maxBedrooms=1&amp;propertyTypes=flat&amp;includeSSTC=false&amp;mustHave=&amp;dontShow=retirement%2CsharedOwnership&amp;furnishTypes=&amp;keywords= | https://www.rightmove.co.uk/property-to-rent/find.html?locationIdentifier=REGION%5E1097&amp;minBedrooms=1&amp;maxBedrooms=1&amp;propertyTypes=flat&amp;includeSSTC=true&amp;mustHave=&amp;dontShow=houseShare%2Cretirement&amp;furnishTypes=&amp;keywords= | https://los.rightmove.co.uk/typeahead?query=Preston</x:v>
      </x:c>
      <x:c r="N43" s="9" t="str">
        <x:v>https://www.nationalrail.co.uk/journey-planner/ | https://www.traveline.info/</x:v>
      </x:c>
      <x:c r="O43" s="9" t="str">
        <x:v>https://www.gov.uk/government/publications/strategic-noise-mapping-2022/explaining-the-2022-noise-maps | https://www.gov.uk/government/statistics/english-indices-of-deprivation-2025 | https://www.openstreetmap.org/search?query=Preston%2C%20UK</x:v>
      </x:c>
    </x:row>
    <x:row r="44">
      <x:c r="A44" s="9" t="str">
        <x:v>Rotherham</x:v>
      </x:c>
      <x:c r="B44" s="9" t="str">
        <x:v>Identical-radius centre proxy: 1825 violence/sexual-offence and 846 ASB records in 12 months; relative composite places it in screening band 4/5, but this is not a population-normalised town or neighbourhood rate.</x:v>
      </x:c>
      <x:c r="C44" s="9" t="str">
        <x:v>Median of 260 achieved standard flat/maisonette sales; this is an all-size flat screening proxy, not a one-bedroom estimate.</x:v>
      </x:c>
      <x:c r="D44" s="9" t="str">
        <x:v>Official one-bedroom modelled average for Rotherham LA; underlying observation count is not published in the table.</x:v>
      </x:c>
      <x:c r="E44" s="9" t="str">
        <x:v>Rightmove's filtered snapshot returned 19 sale and 25 rental results; these are portal headline counts, not deduplicated properties, and the query does not verify tower stock.</x:v>
      </x:c>
      <x:c r="F44" s="9" t="str">
        <x:v>Broad screen indicates a useful town/city bus-and-rail network; this is a town-level judgement, not a neighbourhood accessibility audit.</x:v>
      </x:c>
      <x:c r="G44" s="9" t="str">
        <x:v>Approximate representative faster weekday journey from Rotherham Central: London 145 min (1 change), Birmingham 100 min (1 change); recheck against the exact travel date.</x:v>
      </x:c>
      <x:c r="H44" s="9" t="str">
        <x:v>M1/M18 approaches, rail, steel industry and freight corridors create conspicuous persistent noise sources.</x:v>
      </x:c>
      <x:c r="I44" s="9" t="str">
        <x:v>Renewal and heritage pockets are outweighed by extensive industrial, arterial and deprived urban fabric.</x:v>
      </x:c>
      <x:c r="J44" s="9" t="str">
        <x:v>https://api.postcodes.io/places?q=Rotherham | https://api.postcodes.io/postcodes?lon=-1.354738&amp;lat=53.430720&amp;limit=1&amp;radius=2000 | https://data.police.uk/api/crimes-street/all-crime?lat=53.430720&amp;lng=-1.354738&amp;date=2026-07 | https://data.police.uk/docs/method/crime-street/</x:v>
      </x:c>
      <x:c r="K44" s="9" t="str">
        <x:v>https://www.gov.uk/government/statistical-data-sets/price-paid-data-downloads</x:v>
      </x:c>
      <x:c r="L44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44" s="9" t="str">
        <x:v>https://www.rightmove.co.uk/property-for-sale/find.html?locationIdentifier=REGION%5E1145&amp;minBedrooms=1&amp;maxBedrooms=1&amp;propertyTypes=flat&amp;includeSSTC=false&amp;mustHave=&amp;dontShow=retirement%2CsharedOwnership&amp;furnishTypes=&amp;keywords= | https://www.rightmove.co.uk/property-to-rent/find.html?locationIdentifier=REGION%5E1145&amp;minBedrooms=1&amp;maxBedrooms=1&amp;propertyTypes=flat&amp;includeSSTC=true&amp;mustHave=&amp;dontShow=houseShare%2Cretirement&amp;furnishTypes=&amp;keywords= | https://los.rightmove.co.uk/typeahead?query=Rotherham</x:v>
      </x:c>
      <x:c r="N44" s="9" t="str">
        <x:v>https://www.nationalrail.co.uk/journey-planner/ | https://www.traveline.info/ | https://www.travelsouthyorkshire.com/</x:v>
      </x:c>
      <x:c r="O44" s="9" t="str">
        <x:v>https://www.gov.uk/government/publications/strategic-noise-mapping-2022/explaining-the-2022-noise-maps | https://www.gov.uk/government/statistics/english-indices-of-deprivation-2025 | https://www.openstreetmap.org/search?query=Rotherham%2C%20UK</x:v>
      </x:c>
    </x:row>
    <x:row r="45">
      <x:c r="A45" s="9" t="str">
        <x:v>Salford</x:v>
      </x:c>
      <x:c r="B45" s="9" t="str">
        <x:v>Unknown: Greater Manchester Police crime data are unavailable on Police.uk; sparse point-query returns are cross-force records and cannot support a comparable indicator.</x:v>
      </x:c>
      <x:c r="C45" s="9" t="str">
        <x:v>Median of 1850 achieved standard flat/maisonette sales; this is an all-size flat screening proxy, not a one-bedroom estimate.</x:v>
      </x:c>
      <x:c r="D45" s="9" t="str">
        <x:v>Official one-bedroom modelled average for Salford LA; underlying observation count is not published in the table.</x:v>
      </x:c>
      <x:c r="E45" s="9" t="str">
        <x:v>Rightmove's filtered snapshot returned 513 sale and 531 rental results; these are portal headline counts, not deduplicated properties, and the query does not verify tower stock.</x:v>
      </x:c>
      <x:c r="F45" s="9" t="str">
        <x:v>Broad screen indicates a dense multimodal network; this is a town-level judgement, not a neighbourhood accessibility audit.</x:v>
      </x:c>
      <x:c r="G45" s="9" t="str">
        <x:v>Approximate representative faster weekday journey from Manchester Piccadilly used; Salford origin is ambiguous: London 135 min (0 changes), Birmingham 95 min (0 changes); recheck against the exact travel date.</x:v>
      </x:c>
      <x:c r="H45" s="9" t="str">
        <x:v>Motorways, rail, dense Manchester urban activity and nightlife/venue areas create widespread noise pressure.</x:v>
      </x:c>
      <x:c r="I45" s="9" t="str">
        <x:v>Major waterfront regeneration coexists with traffic infrastructure, deprivation and highly uneven urban fabric.</x:v>
      </x:c>
      <x:c r="J45" s="9" t="str">
        <x:v>https://api.postcodes.io/places?q=Salford | https://api.postcodes.io/postcodes?lon=-2.294998&amp;lat=53.480643&amp;limit=1&amp;radius=2000 | https://data.police.uk/api/crimes-street/all-crime?lat=53.480643&amp;lng=-2.294998&amp;date=2026-07 | https://data.police.uk/docs/method/crime-street/ | https://data.police.uk/changelog/</x:v>
      </x:c>
      <x:c r="K45" s="9" t="str">
        <x:v>https://www.gov.uk/government/statistical-data-sets/price-paid-data-downloads</x:v>
      </x:c>
      <x:c r="L45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45" s="9" t="str">
        <x:v>https://www.rightmove.co.uk/property-for-sale/find.html?locationIdentifier=REGION%5E1164&amp;minBedrooms=1&amp;maxBedrooms=1&amp;propertyTypes=flat&amp;includeSSTC=false&amp;mustHave=&amp;dontShow=retirement%2CsharedOwnership&amp;furnishTypes=&amp;keywords= | https://www.rightmove.co.uk/property-to-rent/find.html?locationIdentifier=REGION%5E1164&amp;minBedrooms=1&amp;maxBedrooms=1&amp;propertyTypes=flat&amp;includeSSTC=true&amp;mustHave=&amp;dontShow=houseShare%2Cretirement&amp;furnishTypes=&amp;keywords= | https://los.rightmove.co.uk/typeahead?query=Salford</x:v>
      </x:c>
      <x:c r="N45" s="9" t="str">
        <x:v>https://www.nationalrail.co.uk/journey-planner/ | https://www.traveline.info/ | https://tfgm.com/</x:v>
      </x:c>
      <x:c r="O45" s="9" t="str">
        <x:v>https://www.gov.uk/government/publications/strategic-noise-mapping-2022/explaining-the-2022-noise-maps | https://www.gov.uk/government/statistics/english-indices-of-deprivation-2025 | https://www.openstreetmap.org/search?query=Salford%2C%20UK</x:v>
      </x:c>
    </x:row>
    <x:row r="46">
      <x:c r="A46" s="9" t="str">
        <x:v>Sheffield</x:v>
      </x:c>
      <x:c r="B46" s="9" t="str">
        <x:v>Identical-radius centre proxy: 4093 violence/sexual-offence and 2297 ASB records in 12 months; relative composite places it in screening band 1/5, but this is not a population-normalised town or neighbourhood rate.</x:v>
      </x:c>
      <x:c r="C46" s="9" t="str">
        <x:v>Median of 1707 achieved standard flat/maisonette sales; this is an all-size flat screening proxy, not a one-bedroom estimate.</x:v>
      </x:c>
      <x:c r="D46" s="9" t="str">
        <x:v>Official one-bedroom modelled average for Sheffield LA; underlying observation count is not published in the table.</x:v>
      </x:c>
      <x:c r="E46" s="9" t="str">
        <x:v>Rightmove's filtered snapshot returned 257 sale and 401 rental results; these are portal headline counts, not deduplicated properties, and the query does not verify tower stock.</x:v>
      </x:c>
      <x:c r="F46" s="9" t="str">
        <x:v>Broad screen indicates a dense multimodal network; this is a town-level judgement, not a neighbourhood accessibility audit.</x:v>
      </x:c>
      <x:c r="G46" s="9" t="str">
        <x:v>Approximate representative faster weekday journey from Sheffield: London 120 min (0 changes), Birmingham 75 min (0 changes); recheck against the exact travel date.</x:v>
      </x:c>
      <x:c r="H46" s="9" t="str">
        <x:v>Arterial roads, rail, tram, industry and nightlife create busy corridors, but hills and extensive green space moderate the city-wide score.</x:v>
      </x:c>
      <x:c r="I46" s="9" t="str">
        <x:v>Strong parks, stone neighbourhood fabric and renewed centre support a favourable judgement despite marked variation.</x:v>
      </x:c>
      <x:c r="J46" s="9" t="str">
        <x:v>https://api.postcodes.io/places?q=Sheffield | https://api.postcodes.io/postcodes?lon=-1.468536&amp;lat=53.382508&amp;limit=1&amp;radius=2000 | https://data.police.uk/api/crimes-street/all-crime?lat=53.382508&amp;lng=-1.468536&amp;date=2026-07 | https://data.police.uk/docs/method/crime-street/</x:v>
      </x:c>
      <x:c r="K46" s="9" t="str">
        <x:v>https://www.gov.uk/government/statistical-data-sets/price-paid-data-downloads</x:v>
      </x:c>
      <x:c r="L46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46" s="9" t="str">
        <x:v>https://www.rightmove.co.uk/property-for-sale/find.html?locationIdentifier=REGION%5E1195&amp;minBedrooms=1&amp;maxBedrooms=1&amp;propertyTypes=flat&amp;includeSSTC=false&amp;mustHave=&amp;dontShow=retirement%2CsharedOwnership&amp;furnishTypes=&amp;keywords= | https://www.rightmove.co.uk/property-to-rent/find.html?locationIdentifier=REGION%5E1195&amp;minBedrooms=1&amp;maxBedrooms=1&amp;propertyTypes=flat&amp;includeSSTC=true&amp;mustHave=&amp;dontShow=houseShare%2Cretirement&amp;furnishTypes=&amp;keywords= | https://los.rightmove.co.uk/typeahead?query=Sheffield</x:v>
      </x:c>
      <x:c r="N46" s="9" t="str">
        <x:v>https://www.nationalrail.co.uk/journey-planner/ | https://www.traveline.info/ | https://www.travelsouthyorkshire.com/</x:v>
      </x:c>
      <x:c r="O46" s="9" t="str">
        <x:v>https://www.gov.uk/government/publications/strategic-noise-mapping-2022/explaining-the-2022-noise-maps | https://www.gov.uk/government/statistics/english-indices-of-deprivation-2025 | https://www.openstreetmap.org/search?query=Sheffield%2C%20UK</x:v>
      </x:c>
    </x:row>
    <x:row r="47">
      <x:c r="A47" s="9" t="str">
        <x:v>Shrewsbury</x:v>
      </x:c>
      <x:c r="B47" s="9" t="str">
        <x:v>Identical-radius centre proxy: 1093 violence/sexual-offence and 356 ASB records in 12 months; relative composite places it in screening band 5/5, but this is not a population-normalised town or neighbourhood rate.</x:v>
      </x:c>
      <x:c r="C47" s="9" t="str">
        <x:v>Median of 309 achieved standard flat/maisonette sales; this is an all-size flat screening proxy, not a one-bedroom estimate.</x:v>
      </x:c>
      <x:c r="D47" s="9" t="str">
        <x:v>Official one-bedroom modelled average for Shropshire LA; underlying observation count is not published in the table and the LA is broader than the named town.</x:v>
      </x:c>
      <x:c r="E47" s="9" t="str">
        <x:v>Rightmove's filtered snapshot returned 33 sale and 33 rental results; these are portal headline counts, not deduplicated properties, and the query does not verify tower stock.</x:v>
      </x:c>
      <x:c r="F47" s="9" t="str">
        <x:v>Broad screen indicates basic bus and rail coverage with less network depth; this is a town-level judgement, not a neighbourhood accessibility audit.</x:v>
      </x:c>
      <x:c r="G47" s="9" t="str">
        <x:v>Approximate representative faster weekday journey from Shrewsbury: London 150 min (1 change), Birmingham 60 min (0 changes); recheck against the exact travel date.</x:v>
      </x:c>
      <x:c r="H47" s="9" t="str">
        <x:v>Bypass roads and rail are clear sources, but the compact town and rural edge offer broadly lower urban intensity.</x:v>
      </x:c>
      <x:c r="I47" s="9" t="str">
        <x:v>Exceptional historic fabric, river setting and coherent public realm support the highest broad condition score.</x:v>
      </x:c>
      <x:c r="J47" s="9" t="str">
        <x:v>https://api.postcodes.io/places?q=Shrewsbury | https://api.postcodes.io/postcodes?lon=-2.754329&amp;lat=52.708167&amp;limit=1&amp;radius=2000 | https://data.police.uk/api/crimes-street/all-crime?lat=52.708167&amp;lng=-2.754329&amp;date=2026-07 | https://data.police.uk/docs/method/crime-street/</x:v>
      </x:c>
      <x:c r="K47" s="9" t="str">
        <x:v>https://www.gov.uk/government/statistical-data-sets/price-paid-data-downloads</x:v>
      </x:c>
      <x:c r="L47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47" s="9" t="str">
        <x:v>https://www.rightmove.co.uk/property-for-sale/find.html?locationIdentifier=REGION%5E1208&amp;minBedrooms=1&amp;maxBedrooms=1&amp;propertyTypes=flat&amp;includeSSTC=false&amp;mustHave=&amp;dontShow=retirement%2CsharedOwnership&amp;furnishTypes=&amp;keywords= | https://www.rightmove.co.uk/property-to-rent/find.html?locationIdentifier=REGION%5E1208&amp;minBedrooms=1&amp;maxBedrooms=1&amp;propertyTypes=flat&amp;includeSSTC=true&amp;mustHave=&amp;dontShow=houseShare%2Cretirement&amp;furnishTypes=&amp;keywords= | https://los.rightmove.co.uk/typeahead?query=Shrewsbury</x:v>
      </x:c>
      <x:c r="N47" s="9" t="str">
        <x:v>https://www.nationalrail.co.uk/journey-planner/ | https://www.traveline.info/</x:v>
      </x:c>
      <x:c r="O47" s="9" t="str">
        <x:v>https://www.gov.uk/government/publications/strategic-noise-mapping-2022/explaining-the-2022-noise-maps | https://www.gov.uk/government/statistics/english-indices-of-deprivation-2025 | https://www.openstreetmap.org/search?query=Shrewsbury%2C%20UK</x:v>
      </x:c>
    </x:row>
    <x:row r="48">
      <x:c r="A48" s="9" t="str">
        <x:v>St Helens</x:v>
      </x:c>
      <x:c r="B48" s="9" t="str">
        <x:v>Identical-radius centre proxy: 2022 violence/sexual-offence and 523 ASB records in 12 months; relative composite places it in screening band 4/5, but this is not a population-normalised town or neighbourhood rate.</x:v>
      </x:c>
      <x:c r="C48" s="9" t="str">
        <x:v>Median of 146 achieved standard flat/maisonette sales; this is an all-size flat screening proxy, not a one-bedroom estimate.</x:v>
      </x:c>
      <x:c r="D48" s="9" t="str">
        <x:v>Official one-bedroom modelled average for St. Helens LA; underlying observation count is not published in the table.</x:v>
      </x:c>
      <x:c r="E48" s="9" t="str">
        <x:v>Rightmove's filtered snapshot returned 9 sale and 24 rental results; these are portal headline counts, not deduplicated properties, and the query does not verify tower stock.</x:v>
      </x:c>
      <x:c r="F48" s="9" t="str">
        <x:v>Broad screen indicates basic bus and rail coverage with less network depth; this is a town-level judgement, not a neighbourhood accessibility audit.</x:v>
      </x:c>
      <x:c r="G48" s="9" t="str">
        <x:v>Approximate representative faster weekday journey from St Helens Central: London 145 min (1 change), Birmingham 90 min (1 change); recheck against the exact travel date.</x:v>
      </x:c>
      <x:c r="H48" s="9" t="str">
        <x:v>M62 access, arterial roads, rail and industrial/logistics land create multiple noise corridors.</x:v>
      </x:c>
      <x:c r="I48" s="9" t="str">
        <x:v>Regeneration efforts are offset by extensive post-industrial, deprived and traffic-dominated fabric.</x:v>
      </x:c>
      <x:c r="J48" s="9" t="str">
        <x:v>https://api.postcodes.io/places?q=St%20Helens | https://api.postcodes.io/postcodes?lon=-2.738189&amp;lat=53.455338&amp;limit=1&amp;radius=2000 | https://data.police.uk/api/crimes-street/all-crime?lat=53.455338&amp;lng=-2.738189&amp;date=2026-07 | https://data.police.uk/docs/method/crime-street/</x:v>
      </x:c>
      <x:c r="K48" s="9" t="str">
        <x:v>https://www.gov.uk/government/statistical-data-sets/price-paid-data-downloads</x:v>
      </x:c>
      <x:c r="L48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48" s="9" t="str">
        <x:v>https://www.rightmove.co.uk/property-for-sale/find.html?locationIdentifier=REGION%5E1250&amp;minBedrooms=1&amp;maxBedrooms=1&amp;propertyTypes=flat&amp;includeSSTC=false&amp;mustHave=&amp;dontShow=retirement%2CsharedOwnership&amp;furnishTypes=&amp;keywords= | https://www.rightmove.co.uk/property-to-rent/find.html?locationIdentifier=REGION%5E1250&amp;minBedrooms=1&amp;maxBedrooms=1&amp;propertyTypes=flat&amp;includeSSTC=true&amp;mustHave=&amp;dontShow=houseShare%2Cretirement&amp;furnishTypes=&amp;keywords= | https://los.rightmove.co.uk/typeahead?query=St%20Helens</x:v>
      </x:c>
      <x:c r="N48" s="9" t="str">
        <x:v>https://www.nationalrail.co.uk/journey-planner/ | https://www.traveline.info/ | https://www.merseytravel.gov.uk/</x:v>
      </x:c>
      <x:c r="O48" s="9" t="str">
        <x:v>https://www.gov.uk/government/publications/strategic-noise-mapping-2022/explaining-the-2022-noise-maps | https://www.gov.uk/government/statistics/english-indices-of-deprivation-2025 | https://www.openstreetmap.org/search?query=St%20Helens%2C%20UK</x:v>
      </x:c>
    </x:row>
    <x:row r="49">
      <x:c r="A49" s="9" t="str">
        <x:v>Stafford</x:v>
      </x:c>
      <x:c r="B49" s="9" t="str">
        <x:v>Identical-radius centre proxy: 1575 violence/sexual-offence and 693 ASB records in 12 months; relative composite places it in screening band 5/5, but this is not a population-normalised town or neighbourhood rate.</x:v>
      </x:c>
      <x:c r="C49" s="9" t="str">
        <x:v>Median of 203 achieved standard flat/maisonette sales; this is an all-size flat screening proxy, not a one-bedroom estimate.</x:v>
      </x:c>
      <x:c r="D49" s="9" t="str">
        <x:v>Official one-bedroom modelled average for Stafford LA; underlying observation count is not published in the table.</x:v>
      </x:c>
      <x:c r="E49" s="9" t="str">
        <x:v>Rightmove's filtered snapshot returned 20 sale and 20 rental results; these are portal headline counts, not deduplicated properties, and the query does not verify tower stock.</x:v>
      </x:c>
      <x:c r="F49" s="9" t="str">
        <x:v>Broad screen indicates basic bus and rail coverage with less network depth; this is a town-level judgement, not a neighbourhood accessibility audit.</x:v>
      </x:c>
      <x:c r="G49" s="9" t="str">
        <x:v>Approximate representative faster weekday journey from Stafford: London 75 min (0 changes), Birmingham 35 min (0 changes); recheck against the exact travel date.</x:v>
      </x:c>
      <x:c r="H49" s="9" t="str">
        <x:v>M6 and West Coast Main Line corridors are conspicuous, but the smaller town has substantial quieter fabric away from them.</x:v>
      </x:c>
      <x:c r="I49" s="9" t="str">
        <x:v>Historic centre, waterways and generally maintained residential fabric support a favourable broad judgement.</x:v>
      </x:c>
      <x:c r="J49" s="9" t="str">
        <x:v>https://api.postcodes.io/places?q=Stafford | https://api.postcodes.io/postcodes?lon=-2.116656&amp;lat=52.805800&amp;limit=1&amp;radius=2000 | https://data.police.uk/api/crimes-street/all-crime?lat=52.805800&amp;lng=-2.116656&amp;date=2026-07 | https://data.police.uk/docs/method/crime-street/</x:v>
      </x:c>
      <x:c r="K49" s="9" t="str">
        <x:v>https://www.gov.uk/government/statistical-data-sets/price-paid-data-downloads</x:v>
      </x:c>
      <x:c r="L49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49" s="9" t="str">
        <x:v>https://www.rightmove.co.uk/property-for-sale/find.html?locationIdentifier=REGION%5E1255&amp;minBedrooms=1&amp;maxBedrooms=1&amp;propertyTypes=flat&amp;includeSSTC=false&amp;mustHave=&amp;dontShow=retirement%2CsharedOwnership&amp;furnishTypes=&amp;keywords= | https://www.rightmove.co.uk/property-to-rent/find.html?locationIdentifier=REGION%5E1255&amp;minBedrooms=1&amp;maxBedrooms=1&amp;propertyTypes=flat&amp;includeSSTC=true&amp;mustHave=&amp;dontShow=houseShare%2Cretirement&amp;furnishTypes=&amp;keywords= | https://los.rightmove.co.uk/typeahead?query=Stafford</x:v>
      </x:c>
      <x:c r="N49" s="9" t="str">
        <x:v>https://www.nationalrail.co.uk/journey-planner/ | https://www.traveline.info/</x:v>
      </x:c>
      <x:c r="O49" s="9" t="str">
        <x:v>https://www.gov.uk/government/publications/strategic-noise-mapping-2022/explaining-the-2022-noise-maps | https://www.gov.uk/government/statistics/english-indices-of-deprivation-2025 | https://www.openstreetmap.org/search?query=Stafford%2C%20UK</x:v>
      </x:c>
    </x:row>
    <x:row r="50">
      <x:c r="A50" s="9" t="str">
        <x:v>Stockport</x:v>
      </x:c>
      <x:c r="B50" s="9" t="str">
        <x:v>Unknown: Greater Manchester Police crime data are unavailable on Police.uk; sparse point-query returns are cross-force records and cannot support a comparable indicator.</x:v>
      </x:c>
      <x:c r="C50" s="9" t="str">
        <x:v>Median of 830 achieved standard flat/maisonette sales; this is an all-size flat screening proxy, not a one-bedroom estimate.</x:v>
      </x:c>
      <x:c r="D50" s="9" t="str">
        <x:v>Official one-bedroom modelled average for Stockport LA; underlying observation count is not published in the table.</x:v>
      </x:c>
      <x:c r="E50" s="9" t="str">
        <x:v>Rightmove's filtered snapshot returned 41 sale and 89 rental results; these are portal headline counts, not deduplicated properties, and the query does not verify tower stock.</x:v>
      </x:c>
      <x:c r="F50" s="9" t="str">
        <x:v>Broad screen indicates a useful town/city bus-and-rail network; this is a town-level judgement, not a neighbourhood accessibility audit.</x:v>
      </x:c>
      <x:c r="G50" s="9" t="str">
        <x:v>Approximate representative faster weekday journey from Stockport: London 120 min (0 changes), Birmingham 75 min (0 changes); recheck against the exact travel date.</x:v>
      </x:c>
      <x:c r="H50" s="9" t="str">
        <x:v>M60, A6, dense rail and Manchester Airport flight paths create significant transport-noise exposure.</x:v>
      </x:c>
      <x:c r="I50" s="9" t="str">
        <x:v>A strong historic market core, viaduct and generally attractive residential fabric support a favourable score despite traffic corridors.</x:v>
      </x:c>
      <x:c r="J50" s="9" t="str">
        <x:v>https://api.postcodes.io/places?q=Stockport | https://api.postcodes.io/postcodes?lon=-2.158961&amp;lat=53.408023&amp;limit=1&amp;radius=2000 | https://data.police.uk/api/crimes-street/all-crime?lat=53.408023&amp;lng=-2.158961&amp;date=2026-07 | https://data.police.uk/docs/method/crime-street/ | https://data.police.uk/changelog/</x:v>
      </x:c>
      <x:c r="K50" s="9" t="str">
        <x:v>https://www.gov.uk/government/statistical-data-sets/price-paid-data-downloads</x:v>
      </x:c>
      <x:c r="L50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50" s="9" t="str">
        <x:v>https://www.rightmove.co.uk/property-for-sale/find.html?locationIdentifier=REGION%5E1268&amp;minBedrooms=1&amp;maxBedrooms=1&amp;propertyTypes=flat&amp;includeSSTC=false&amp;mustHave=&amp;dontShow=retirement%2CsharedOwnership&amp;furnishTypes=&amp;keywords= | https://www.rightmove.co.uk/property-to-rent/find.html?locationIdentifier=REGION%5E1268&amp;minBedrooms=1&amp;maxBedrooms=1&amp;propertyTypes=flat&amp;includeSSTC=true&amp;mustHave=&amp;dontShow=houseShare%2Cretirement&amp;furnishTypes=&amp;keywords= | https://los.rightmove.co.uk/typeahead?query=Stockport</x:v>
      </x:c>
      <x:c r="N50" s="9" t="str">
        <x:v>https://www.nationalrail.co.uk/journey-planner/ | https://www.traveline.info/ | https://tfgm.com/</x:v>
      </x:c>
      <x:c r="O50" s="9" t="str">
        <x:v>https://www.gov.uk/government/publications/strategic-noise-mapping-2022/explaining-the-2022-noise-maps | https://www.gov.uk/government/statistics/english-indices-of-deprivation-2025 | https://www.openstreetmap.org/search?query=Stockport%2C%20UK</x:v>
      </x:c>
    </x:row>
    <x:row r="51">
      <x:c r="A51" s="9" t="str">
        <x:v>Stockton-on-Tees</x:v>
      </x:c>
      <x:c r="B51" s="9" t="str">
        <x:v>Identical-radius centre proxy: 2853 violence/sexual-offence and 1260 ASB records in 12 months; relative composite places it in screening band 3/5, but this is not a population-normalised town or neighbourhood rate.</x:v>
      </x:c>
      <x:c r="C51" s="9" t="str">
        <x:v>Median of 188 achieved standard flat/maisonette sales; this is an all-size flat screening proxy, not a one-bedroom estimate.</x:v>
      </x:c>
      <x:c r="D51" s="9" t="str">
        <x:v>Official one-bedroom modelled average for Stockton-on-Tees LA; underlying observation count is not published in the table.</x:v>
      </x:c>
      <x:c r="E51" s="9" t="str">
        <x:v>Rightmove's filtered snapshot returned 14 sale and 36 rental results; these are portal headline counts, not deduplicated properties, and the query does not verify tower stock.</x:v>
      </x:c>
      <x:c r="F51" s="9" t="str">
        <x:v>Broad screen indicates basic bus and rail coverage with less network depth; this is a town-level judgement, not a neighbourhood accessibility audit.</x:v>
      </x:c>
      <x:c r="G51" s="9" t="str">
        <x:v>Approximate representative faster weekday journey from Thornaby used for representative mainline journeys: London 185 min (1 change), Birmingham 180 min (1 change); recheck against the exact travel date.</x:v>
      </x:c>
      <x:c r="H51" s="9" t="str">
        <x:v>A19/A66, rail and nearby Teesside industry create prominent and persistent noise sources.</x:v>
      </x:c>
      <x:c r="I51" s="9" t="str">
        <x:v>High-street and riverside renewal is balanced by industrial, deprived and uneven surrounding fabric.</x:v>
      </x:c>
      <x:c r="J51" s="9" t="str">
        <x:v>https://api.postcodes.io/places?q=Stockton-on-Tees | https://api.postcodes.io/postcodes?lon=-1.312668&amp;lat=54.563971&amp;limit=1&amp;radius=2000 | https://data.police.uk/api/crimes-street/all-crime?lat=54.563971&amp;lng=-1.312668&amp;date=2026-07 | https://data.police.uk/docs/method/crime-street/</x:v>
      </x:c>
      <x:c r="K51" s="9" t="str">
        <x:v>https://www.gov.uk/government/statistical-data-sets/price-paid-data-downloads</x:v>
      </x:c>
      <x:c r="L51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51" s="9" t="str">
        <x:v>https://www.rightmove.co.uk/property-for-sale/find.html?locationIdentifier=REGION%5E1270&amp;minBedrooms=1&amp;maxBedrooms=1&amp;propertyTypes=flat&amp;includeSSTC=false&amp;mustHave=&amp;dontShow=retirement%2CsharedOwnership&amp;furnishTypes=&amp;keywords= | https://www.rightmove.co.uk/property-to-rent/find.html?locationIdentifier=REGION%5E1270&amp;minBedrooms=1&amp;maxBedrooms=1&amp;propertyTypes=flat&amp;includeSSTC=true&amp;mustHave=&amp;dontShow=houseShare%2Cretirement&amp;furnishTypes=&amp;keywords=</x:v>
      </x:c>
      <x:c r="N51" s="9" t="str">
        <x:v>https://www.nationalrail.co.uk/journey-planner/ | https://www.traveline.info/</x:v>
      </x:c>
      <x:c r="O51" s="9" t="str">
        <x:v>https://www.gov.uk/government/publications/strategic-noise-mapping-2022/explaining-the-2022-noise-maps | https://www.gov.uk/government/statistics/english-indices-of-deprivation-2025 | https://www.openstreetmap.org/search?query=Stockton-on-Tees%2C%20UK</x:v>
      </x:c>
    </x:row>
    <x:row r="52">
      <x:c r="A52" s="9" t="str">
        <x:v>Stoke-on-Trent</x:v>
      </x:c>
      <x:c r="B52" s="9" t="str">
        <x:v>Identical-radius centre proxy: 2370 violence/sexual-offence and 1510 ASB records in 12 months; relative composite places it in screening band 3/5, but this is not a population-normalised town or neighbourhood rate.</x:v>
      </x:c>
      <x:c r="C52" s="9" t="str">
        <x:v>Median of 346 achieved standard flat/maisonette sales; this is an all-size flat screening proxy, not a one-bedroom estimate.</x:v>
      </x:c>
      <x:c r="D52" s="9" t="str">
        <x:v>Official one-bedroom modelled average for Stoke-on-Trent LA; underlying observation count is not published in the table.</x:v>
      </x:c>
      <x:c r="E52" s="9" t="str">
        <x:v>Rightmove's filtered snapshot returned 26 sale and 53 rental results; these are portal headline counts, not deduplicated properties, and the query does not verify tower stock.</x:v>
      </x:c>
      <x:c r="F52" s="9" t="str">
        <x:v>Broad screen indicates a useful town/city bus-and-rail network; this is a town-level judgement, not a neighbourhood accessibility audit.</x:v>
      </x:c>
      <x:c r="G52" s="9" t="str">
        <x:v>Approximate representative faster weekday journey from Stoke-on-Trent: London 85 min (0 changes), Birmingham 50 min (0 changes); recheck against the exact travel date.</x:v>
      </x:c>
      <x:c r="H52" s="9" t="str">
        <x:v>A500/M6 access, rail and dispersed industrial land create widespread road and industrial noise corridors.</x:v>
      </x:c>
      <x:c r="I52" s="9" t="str">
        <x:v>Ceramic heritage and renewal pockets are offset by vacancy, deprivation and fragmented post-industrial urban fabric.</x:v>
      </x:c>
      <x:c r="J52" s="9" t="str">
        <x:v>https://api.postcodes.io/places?q=Stoke-on-Trent | https://api.postcodes.io/postcodes?lon=-2.173369&amp;lat=53.022184&amp;limit=1&amp;radius=2000 | https://data.police.uk/api/crimes-street/all-crime?lat=53.022184&amp;lng=-2.173369&amp;date=2026-07 | https://data.police.uk/docs/method/crime-street/</x:v>
      </x:c>
      <x:c r="K52" s="9" t="str">
        <x:v>https://www.gov.uk/government/statistical-data-sets/price-paid-data-downloads</x:v>
      </x:c>
      <x:c r="L52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52" s="9" t="str">
        <x:v>https://www.rightmove.co.uk/property-for-sale/find.html?locationIdentifier=REGION%5E1271&amp;minBedrooms=1&amp;maxBedrooms=1&amp;propertyTypes=flat&amp;includeSSTC=false&amp;mustHave=&amp;dontShow=retirement%2CsharedOwnership&amp;furnishTypes=&amp;keywords= | https://www.rightmove.co.uk/property-to-rent/find.html?locationIdentifier=REGION%5E1271&amp;minBedrooms=1&amp;maxBedrooms=1&amp;propertyTypes=flat&amp;includeSSTC=true&amp;mustHave=&amp;dontShow=houseShare%2Cretirement&amp;furnishTypes=&amp;keywords=</x:v>
      </x:c>
      <x:c r="N52" s="9" t="str">
        <x:v>https://www.nationalrail.co.uk/journey-planner/ | https://www.traveline.info/</x:v>
      </x:c>
      <x:c r="O52" s="9" t="str">
        <x:v>https://www.gov.uk/government/publications/strategic-noise-mapping-2022/explaining-the-2022-noise-maps | https://www.gov.uk/government/statistics/english-indices-of-deprivation-2025 | https://www.openstreetmap.org/search?query=Stoke-on-Trent%2C%20UK</x:v>
      </x:c>
    </x:row>
    <x:row r="53">
      <x:c r="A53" s="9" t="str">
        <x:v>Sunderland</x:v>
      </x:c>
      <x:c r="B53" s="9" t="str">
        <x:v>Identical-radius centre proxy: 2043 violence/sexual-offence and 1312 ASB records in 12 months; relative composite places it in screening band 3/5, but this is not a population-normalised town or neighbourhood rate.</x:v>
      </x:c>
      <x:c r="C53" s="9" t="str">
        <x:v>Median of 363 achieved standard flat/maisonette sales; this is an all-size flat screening proxy, not a one-bedroom estimate.</x:v>
      </x:c>
      <x:c r="D53" s="9" t="str">
        <x:v>Official one-bedroom modelled average for Sunderland LA; underlying observation count is not published in the table.</x:v>
      </x:c>
      <x:c r="E53" s="9" t="str">
        <x:v>Rightmove's filtered snapshot returned 49 sale and 56 rental results; these are portal headline counts, not deduplicated properties, and the query does not verify tower stock.</x:v>
      </x:c>
      <x:c r="F53" s="9" t="str">
        <x:v>Broad screen indicates a useful town/city bus-and-rail network; this is a town-level judgement, not a neighbourhood accessibility audit.</x:v>
      </x:c>
      <x:c r="G53" s="9" t="str">
        <x:v>Approximate representative faster weekday journey from Sunderland; direct London service is limited: London 195 min (0 changes), Birmingham 205 min (1 change); recheck against the exact travel date.</x:v>
      </x:c>
      <x:c r="H53" s="9" t="str">
        <x:v>A19 approaches, Metro/rail, port industry and nightlife create multiple urban noise sources.</x:v>
      </x:c>
      <x:c r="I53" s="9" t="str">
        <x:v>Seafront and renewed riverside/civic areas are positives, while deprived and post-industrial fabric remains extensive.</x:v>
      </x:c>
      <x:c r="J53" s="9" t="str">
        <x:v>https://api.postcodes.io/places?q=Sunderland | https://api.postcodes.io/postcodes?lon=-1.383803&amp;lat=54.902165&amp;limit=1&amp;radius=2000 | https://data.police.uk/api/crimes-street/all-crime?lat=54.902165&amp;lng=-1.383803&amp;date=2026-07 | https://data.police.uk/docs/method/crime-street/</x:v>
      </x:c>
      <x:c r="K53" s="9" t="str">
        <x:v>https://www.gov.uk/government/statistical-data-sets/price-paid-data-downloads</x:v>
      </x:c>
      <x:c r="L53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53" s="9" t="str">
        <x:v>https://www.rightmove.co.uk/property-for-sale/find.html?locationIdentifier=REGION%5E1295&amp;minBedrooms=1&amp;maxBedrooms=1&amp;propertyTypes=flat&amp;includeSSTC=false&amp;mustHave=&amp;dontShow=retirement%2CsharedOwnership&amp;furnishTypes=&amp;keywords= | https://www.rightmove.co.uk/property-to-rent/find.html?locationIdentifier=REGION%5E1295&amp;minBedrooms=1&amp;maxBedrooms=1&amp;propertyTypes=flat&amp;includeSSTC=true&amp;mustHave=&amp;dontShow=houseShare%2Cretirement&amp;furnishTypes=&amp;keywords= | https://los.rightmove.co.uk/typeahead?query=Sunderland</x:v>
      </x:c>
      <x:c r="N53" s="9" t="str">
        <x:v>https://www.nationalrail.co.uk/journey-planner/ | https://www.traveline.info/ | https://www.nexus.org.uk/</x:v>
      </x:c>
      <x:c r="O53" s="9" t="str">
        <x:v>https://www.gov.uk/government/publications/strategic-noise-mapping-2022/explaining-the-2022-noise-maps | https://www.gov.uk/government/statistics/english-indices-of-deprivation-2025 | https://www.openstreetmap.org/search?query=Sunderland%2C%20UK</x:v>
      </x:c>
    </x:row>
    <x:row r="54">
      <x:c r="A54" s="9" t="str">
        <x:v>Swansea</x:v>
      </x:c>
      <x:c r="B54" s="9" t="str">
        <x:v>Identical-radius centre proxy: 2514 violence/sexual-offence and 880 ASB records in 12 months; relative composite places it in screening band 3/5, but this is not a population-normalised town or neighbourhood rate.</x:v>
      </x:c>
      <x:c r="C54" s="9" t="str">
        <x:v>Median of 455 achieved standard flat/maisonette sales; this is an all-size flat screening proxy, not a one-bedroom estimate.</x:v>
      </x:c>
      <x:c r="D54" s="9" t="str">
        <x:v>Official one-bedroom modelled average for Swansea LA; underlying observation count is not published in the table.</x:v>
      </x:c>
      <x:c r="E54" s="9" t="str">
        <x:v>Rightmove's filtered snapshot returned 25 sale and 16 rental results; these are portal headline counts, not deduplicated properties, and the query does not verify tower stock.</x:v>
      </x:c>
      <x:c r="F54" s="9" t="str">
        <x:v>Broad screen indicates a useful town/city bus-and-rail network; this is a town-level judgement, not a neighbourhood accessibility audit.</x:v>
      </x:c>
      <x:c r="G54" s="9" t="str">
        <x:v>Approximate representative faster weekday journey from Swansea: London 170 min (0 changes), Birmingham 185 min (1 change); recheck against the exact travel date.</x:v>
      </x:c>
      <x:c r="H54" s="9" t="str">
        <x:v>M4/A483 approaches, rail, port and nightlife create corridors of noise, moderated by the coastal setting and lower-intensity areas.</x:v>
      </x:c>
      <x:c r="I54" s="9" t="str">
        <x:v>Bay, parks and waterfront renewal support a favourable judgement despite uneven centre and post-industrial corridors.</x:v>
      </x:c>
      <x:c r="J54" s="9" t="str">
        <x:v>https://api.postcodes.io/places?q=Swansea | https://api.postcodes.io/postcodes?lon=-3.941418&amp;lat=51.620110&amp;limit=1&amp;radius=2000 | https://data.police.uk/api/crimes-street/all-crime?lat=51.620110&amp;lng=-3.941418&amp;date=2026-07 | https://data.police.uk/docs/method/crime-street/</x:v>
      </x:c>
      <x:c r="K54" s="9" t="str">
        <x:v>https://www.gov.uk/government/statistical-data-sets/price-paid-data-downloads</x:v>
      </x:c>
      <x:c r="L54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54" s="9" t="str">
        <x:v>https://www.rightmove.co.uk/property-for-sale/find.html?locationIdentifier=REGION%5E1305&amp;minBedrooms=1&amp;maxBedrooms=1&amp;propertyTypes=flat&amp;includeSSTC=false&amp;mustHave=&amp;dontShow=retirement%2CsharedOwnership&amp;furnishTypes=&amp;keywords= | https://www.rightmove.co.uk/property-to-rent/find.html?locationIdentifier=REGION%5E1305&amp;minBedrooms=1&amp;maxBedrooms=1&amp;propertyTypes=flat&amp;includeSSTC=true&amp;mustHave=&amp;dontShow=houseShare%2Cretirement&amp;furnishTypes=&amp;keywords= | https://los.rightmove.co.uk/typeahead?query=Swansea</x:v>
      </x:c>
      <x:c r="N54" s="9" t="str">
        <x:v>https://www.nationalrail.co.uk/journey-planner/ | https://www.traveline.info/ | https://tfw.wales/</x:v>
      </x:c>
      <x:c r="O54" s="9" t="str">
        <x:v>https://datamap.gov.wales/layergroups/geonode%3AEnvironmental_Noise_Mapping_2022 | https://stats.gov.wales/en-GB/c67b9e08-dacc-439a-a244-2fce79b11400 | https://www.openstreetmap.org/search?query=Swansea%2C%20UK</x:v>
      </x:c>
    </x:row>
    <x:row r="55">
      <x:c r="A55" s="9" t="str">
        <x:v>Swindon</x:v>
      </x:c>
      <x:c r="B55" s="9" t="str">
        <x:v>Identical-radius centre proxy: 2502 violence/sexual-offence and 1707 ASB records in 12 months; relative composite places it in screening band 2/5, but this is not a population-normalised town or neighbourhood rate.</x:v>
      </x:c>
      <x:c r="C55" s="9" t="str">
        <x:v>Median of 906 achieved standard flat/maisonette sales; this is an all-size flat screening proxy, not a one-bedroom estimate.</x:v>
      </x:c>
      <x:c r="D55" s="9" t="str">
        <x:v>Official one-bedroom modelled average for Swindon LA; underlying observation count is not published in the table.</x:v>
      </x:c>
      <x:c r="E55" s="9" t="str">
        <x:v>Rightmove's filtered snapshot returned 87 sale and 121 rental results; these are portal headline counts, not deduplicated properties, and the query does not verify tower stock.</x:v>
      </x:c>
      <x:c r="F55" s="9" t="str">
        <x:v>Broad screen indicates a useful town/city bus-and-rail network; this is a town-level judgement, not a neighbourhood accessibility audit.</x:v>
      </x:c>
      <x:c r="G55" s="9" t="str">
        <x:v>Approximate representative faster weekday journey from Swindon: London 55 min (0 changes), Birmingham 95 min (1 change); recheck against the exact travel date.</x:v>
      </x:c>
      <x:c r="H55" s="9" t="str">
        <x:v>M4 access, a busy rail corridor and broad arterial roads create substantial transport-noise exposure.</x:v>
      </x:c>
      <x:c r="I55" s="9" t="str">
        <x:v>Maintained residential and park areas are balanced by road-dominated modern form and uneven central fabric.</x:v>
      </x:c>
      <x:c r="J55" s="9" t="str">
        <x:v>https://api.postcodes.io/places?q=Swindon | https://api.postcodes.io/postcodes?lon=-1.785458&amp;lat=51.561532&amp;limit=1&amp;radius=2000 | https://data.police.uk/api/crimes-street/all-crime?lat=51.561532&amp;lng=-1.785458&amp;date=2026-07 | https://data.police.uk/docs/method/crime-street/</x:v>
      </x:c>
      <x:c r="K55" s="9" t="str">
        <x:v>https://www.gov.uk/government/statistical-data-sets/price-paid-data-downloads</x:v>
      </x:c>
      <x:c r="L55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55" s="9" t="str">
        <x:v>https://www.rightmove.co.uk/property-for-sale/find.html?locationIdentifier=REGION%5E1306&amp;minBedrooms=1&amp;maxBedrooms=1&amp;propertyTypes=flat&amp;includeSSTC=false&amp;mustHave=&amp;dontShow=retirement%2CsharedOwnership&amp;furnishTypes=&amp;keywords= | https://www.rightmove.co.uk/property-to-rent/find.html?locationIdentifier=REGION%5E1306&amp;minBedrooms=1&amp;maxBedrooms=1&amp;propertyTypes=flat&amp;includeSSTC=true&amp;mustHave=&amp;dontShow=houseShare%2Cretirement&amp;furnishTypes=&amp;keywords= | https://los.rightmove.co.uk/typeahead?query=Swindon</x:v>
      </x:c>
      <x:c r="N55" s="9" t="str">
        <x:v>https://www.nationalrail.co.uk/journey-planner/ | https://www.traveline.info/</x:v>
      </x:c>
      <x:c r="O55" s="9" t="str">
        <x:v>https://www.gov.uk/government/publications/strategic-noise-mapping-2022/explaining-the-2022-noise-maps | https://www.gov.uk/government/statistics/english-indices-of-deprivation-2025 | https://www.openstreetmap.org/search?query=Swindon%2C%20UK</x:v>
      </x:c>
    </x:row>
    <x:row r="56">
      <x:c r="A56" s="9" t="str">
        <x:v>Telford</x:v>
      </x:c>
      <x:c r="B56" s="9" t="str">
        <x:v>Identical-radius centre proxy: 1223 violence/sexual-offence and 438 ASB records in 12 months; relative composite places it in screening band 5/5, but this is not a population-normalised town or neighbourhood rate.</x:v>
      </x:c>
      <x:c r="C56" s="9" t="str">
        <x:v>Median of 180 achieved standard flat/maisonette sales; this is an all-size flat screening proxy, not a one-bedroom estimate.</x:v>
      </x:c>
      <x:c r="D56" s="9" t="str">
        <x:v>Official one-bedroom modelled average for Telford and Wrekin LA; underlying observation count is not published in the table and the LA is broader than the named town.</x:v>
      </x:c>
      <x:c r="E56" s="9" t="str">
        <x:v>Rightmove's filtered snapshot returned 31 sale and 22 rental results; these are portal headline counts, not deduplicated properties, and the query does not verify tower stock.</x:v>
      </x:c>
      <x:c r="F56" s="9" t="str">
        <x:v>Broad screen indicates basic bus and rail coverage with less network depth; this is a town-level judgement, not a neighbourhood accessibility audit.</x:v>
      </x:c>
      <x:c r="G56" s="9" t="str">
        <x:v>Approximate representative faster weekday journey from Telford Central: London 125 min (1 change), Birmingham 40 min (0 changes); recheck against the exact travel date.</x:v>
      </x:c>
      <x:c r="H56" s="9" t="str">
        <x:v>M54/A442 traffic and dispersed industrial estates create local noise, but low-density form reduces continuous urban intensity.</x:v>
      </x:c>
      <x:c r="I56" s="9" t="str">
        <x:v>Green space and maintained newer districts are balanced by fragmented, car-oriented townscape and industrial edges.</x:v>
      </x:c>
      <x:c r="J56" s="9" t="str">
        <x:v>https://api.postcodes.io/places?q=Telford | https://api.postcodes.io/postcodes?lon=-2.448752&amp;lat=52.675404&amp;limit=1&amp;radius=2000 | https://data.police.uk/api/crimes-street/all-crime?lat=52.675404&amp;lng=-2.448752&amp;date=2026-07 | https://data.police.uk/docs/method/crime-street/</x:v>
      </x:c>
      <x:c r="K56" s="9" t="str">
        <x:v>https://www.gov.uk/government/statistical-data-sets/price-paid-data-downloads</x:v>
      </x:c>
      <x:c r="L56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56" s="9" t="str">
        <x:v>https://www.rightmove.co.uk/property-for-sale/find.html?locationIdentifier=REGION%5E1323&amp;minBedrooms=1&amp;maxBedrooms=1&amp;propertyTypes=flat&amp;includeSSTC=false&amp;mustHave=&amp;dontShow=retirement%2CsharedOwnership&amp;furnishTypes=&amp;keywords= | https://www.rightmove.co.uk/property-to-rent/find.html?locationIdentifier=REGION%5E1323&amp;minBedrooms=1&amp;maxBedrooms=1&amp;propertyTypes=flat&amp;includeSSTC=true&amp;mustHave=&amp;dontShow=houseShare%2Cretirement&amp;furnishTypes=&amp;keywords= | https://los.rightmove.co.uk/typeahead?query=Telford</x:v>
      </x:c>
      <x:c r="N56" s="9" t="str">
        <x:v>https://www.nationalrail.co.uk/journey-planner/ | https://www.traveline.info/ | https://www.tfwm.org.uk/</x:v>
      </x:c>
      <x:c r="O56" s="9" t="str">
        <x:v>https://www.gov.uk/government/publications/strategic-noise-mapping-2022/explaining-the-2022-noise-maps | https://www.gov.uk/government/statistics/english-indices-of-deprivation-2025 | https://www.openstreetmap.org/search?query=Telford%2C%20UK</x:v>
      </x:c>
    </x:row>
    <x:row r="57">
      <x:c r="A57" s="9" t="str">
        <x:v>Torbay</x:v>
      </x:c>
      <x:c r="B57" s="9" t="str">
        <x:v>Identical-radius centre proxy: 2517 violence/sexual-offence and 940 ASB records in 12 months; relative composite places it in screening band 3/5, but this is not a population-normalised town or neighbourhood rate.</x:v>
      </x:c>
      <x:c r="C57" s="9" t="str">
        <x:v>Median of 936 achieved standard flat/maisonette sales; this is an all-size flat screening proxy, not a one-bedroom estimate.</x:v>
      </x:c>
      <x:c r="D57" s="9" t="str">
        <x:v>Official one-bedroom modelled average for Torbay LA; underlying observation count is not published in the table.</x:v>
      </x:c>
      <x:c r="E57" s="9" t="str">
        <x:v>Rightmove's filtered snapshot returned 165 sale and 51 rental results; these are portal headline counts, not deduplicated properties, and the query does not verify tower stock.</x:v>
      </x:c>
      <x:c r="F57" s="9" t="str">
        <x:v>Broad screen indicates basic bus and rail coverage with less network depth; this is a town-level judgement, not a neighbourhood accessibility audit.</x:v>
      </x:c>
      <x:c r="G57" s="9" t="str">
        <x:v>Approximate representative faster weekday journey from Torquay used; some faster itineraries connect at Newton Abbot: London 180 min (1 change), Birmingham 195 min (1 change); recheck against the exact travel date.</x:v>
      </x:c>
      <x:c r="H57" s="9" t="str">
        <x:v>Seasonal visitor traffic, rail and resort nightlife create hotspots, but much of the coastal conurbation is lower-intensity.</x:v>
      </x:c>
      <x:c r="I57" s="9" t="str">
        <x:v>Coastal scenery, parks and resort heritage support a favourable score despite pockets of deprivation and uneven upkeep.</x:v>
      </x:c>
      <x:c r="J57" s="9" t="str">
        <x:v>https://api.postcodes.io/places?q=Torquay | https://api.postcodes.io/postcodes?lon=-3.531407&amp;lat=50.468826&amp;limit=1&amp;radius=2000 | https://data.police.uk/api/crimes-street/all-crime?lat=50.468826&amp;lng=-3.531407&amp;date=2026-07 | https://data.police.uk/docs/method/crime-street/</x:v>
      </x:c>
      <x:c r="K57" s="9" t="str">
        <x:v>https://www.gov.uk/government/statistical-data-sets/price-paid-data-downloads</x:v>
      </x:c>
      <x:c r="L57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57" s="9" t="str">
        <x:v>https://www.rightmove.co.uk/property-for-sale/find.html?locationIdentifier=REGION%5E61274&amp;minBedrooms=1&amp;maxBedrooms=1&amp;propertyTypes=flat&amp;includeSSTC=false&amp;mustHave=&amp;dontShow=retirement%2CsharedOwnership&amp;furnishTypes=&amp;keywords= | https://www.rightmove.co.uk/property-to-rent/find.html?locationIdentifier=REGION%5E61274&amp;minBedrooms=1&amp;maxBedrooms=1&amp;propertyTypes=flat&amp;includeSSTC=true&amp;mustHave=&amp;dontShow=houseShare%2Cretirement&amp;furnishTypes=&amp;keywords= | https://los.rightmove.co.uk/typeahead?query=Torbay</x:v>
      </x:c>
      <x:c r="N57" s="9" t="str">
        <x:v>https://www.nationalrail.co.uk/journey-planner/ | https://www.traveline.info/</x:v>
      </x:c>
      <x:c r="O57" s="9" t="str">
        <x:v>https://www.gov.uk/government/publications/strategic-noise-mapping-2022/explaining-the-2022-noise-maps | https://www.gov.uk/government/statistics/english-indices-of-deprivation-2025 | https://www.openstreetmap.org/search?query=Torbay%2C%20UK</x:v>
      </x:c>
    </x:row>
    <x:row r="58">
      <x:c r="A58" s="9" t="str">
        <x:v>Wakefield</x:v>
      </x:c>
      <x:c r="B58" s="9" t="str">
        <x:v>Identical-radius centre proxy: 2844 violence/sexual-offence and 612 ASB records in 12 months; relative composite places it in screening band 4/5, but this is not a population-normalised town or neighbourhood rate.</x:v>
      </x:c>
      <x:c r="C58" s="9" t="str">
        <x:v>Median of 273 achieved standard flat/maisonette sales; this is an all-size flat screening proxy, not a one-bedroom estimate.</x:v>
      </x:c>
      <x:c r="D58" s="9" t="str">
        <x:v>Official one-bedroom modelled average for Wakefield LA; underlying observation count is not published in the table.</x:v>
      </x:c>
      <x:c r="E58" s="9" t="str">
        <x:v>Rightmove's filtered snapshot returned 46 sale and 46 rental results; these are portal headline counts, not deduplicated properties, and the query does not verify tower stock.</x:v>
      </x:c>
      <x:c r="F58" s="9" t="str">
        <x:v>Broad screen indicates a useful town/city bus-and-rail network; this is a town-level judgement, not a neighbourhood accessibility audit.</x:v>
      </x:c>
      <x:c r="G58" s="9" t="str">
        <x:v>Approximate representative faster weekday journey from Wakefield Westgate: London 120 min (0 changes), Birmingham 110 min (1 change); recheck against the exact travel date.</x:v>
      </x:c>
      <x:c r="H58" s="9" t="str">
        <x:v>M1/M62 approaches, major rail and arterial traffic create multiple persistent noise corridors.</x:v>
      </x:c>
      <x:c r="I58" s="9" t="str">
        <x:v>Historic and cultural assets are balanced by traffic infrastructure and uneven post-industrial urban fabric.</x:v>
      </x:c>
      <x:c r="J58" s="9" t="str">
        <x:v>https://api.postcodes.io/places?q=Wakefield | https://api.postcodes.io/postcodes?lon=-1.498169&amp;lat=53.683704&amp;limit=1&amp;radius=2000 | https://data.police.uk/api/crimes-street/all-crime?lat=53.683704&amp;lng=-1.498169&amp;date=2026-07 | https://data.police.uk/docs/method/crime-street/</x:v>
      </x:c>
      <x:c r="K58" s="9" t="str">
        <x:v>https://www.gov.uk/government/statistical-data-sets/price-paid-data-downloads</x:v>
      </x:c>
      <x:c r="L58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58" s="9" t="str">
        <x:v>https://www.rightmove.co.uk/property-for-sale/find.html?locationIdentifier=REGION%5E1386&amp;minBedrooms=1&amp;maxBedrooms=1&amp;propertyTypes=flat&amp;includeSSTC=false&amp;mustHave=&amp;dontShow=retirement%2CsharedOwnership&amp;furnishTypes=&amp;keywords= | https://www.rightmove.co.uk/property-to-rent/find.html?locationIdentifier=REGION%5E1386&amp;minBedrooms=1&amp;maxBedrooms=1&amp;propertyTypes=flat&amp;includeSSTC=true&amp;mustHave=&amp;dontShow=houseShare%2Cretirement&amp;furnishTypes=&amp;keywords= | https://los.rightmove.co.uk/typeahead?query=Wakefield</x:v>
      </x:c>
      <x:c r="N58" s="9" t="str">
        <x:v>https://www.nationalrail.co.uk/journey-planner/ | https://www.traveline.info/ | https://www.wymetro.com/</x:v>
      </x:c>
      <x:c r="O58" s="9" t="str">
        <x:v>https://www.gov.uk/government/publications/strategic-noise-mapping-2022/explaining-the-2022-noise-maps | https://www.gov.uk/government/statistics/english-indices-of-deprivation-2025 | https://www.openstreetmap.org/search?query=Wakefield%2C%20UK</x:v>
      </x:c>
    </x:row>
    <x:row r="59">
      <x:c r="A59" s="9" t="str">
        <x:v>Walsall</x:v>
      </x:c>
      <x:c r="B59" s="9" t="str">
        <x:v>Identical-radius centre proxy: 3067 violence/sexual-offence and 263 ASB records in 12 months; relative composite places it in screening band 4/5, but this is not a population-normalised town or neighbourhood rate.</x:v>
      </x:c>
      <x:c r="C59" s="9" t="str">
        <x:v>Median of 404 achieved standard flat/maisonette sales; this is an all-size flat screening proxy, not a one-bedroom estimate.</x:v>
      </x:c>
      <x:c r="D59" s="9" t="str">
        <x:v>Official one-bedroom modelled average for Walsall LA; underlying observation count is not published in the table.</x:v>
      </x:c>
      <x:c r="E59" s="9" t="str">
        <x:v>Rightmove's filtered snapshot returned 36 sale and 44 rental results; these are portal headline counts, not deduplicated properties, and the query does not verify tower stock.</x:v>
      </x:c>
      <x:c r="F59" s="9" t="str">
        <x:v>Broad screen indicates a useful town/city bus-and-rail network; this is a town-level judgement, not a neighbourhood accessibility audit.</x:v>
      </x:c>
      <x:c r="G59" s="9" t="str">
        <x:v>Approximate representative faster weekday journey from Walsall: London 115 min (1 change), Birmingham 25 min (0 changes); recheck against the exact travel date.</x:v>
      </x:c>
      <x:c r="H59" s="9" t="str">
        <x:v>M6, dense arterial roads, rail and industrial land create widespread transport and industrial noise pressure.</x:v>
      </x:c>
      <x:c r="I59" s="9" t="str">
        <x:v>Civic and park pockets are outweighed by traffic-dominated, industrial and deprived urban fabric in the broad screen.</x:v>
      </x:c>
      <x:c r="J59" s="9" t="str">
        <x:v>https://api.postcodes.io/places?q=Walsall | https://api.postcodes.io/postcodes?lon=-1.980341&amp;lat=52.586221&amp;limit=1&amp;radius=2000 | https://data.police.uk/api/crimes-street/all-crime?lat=52.586221&amp;lng=-1.980341&amp;date=2026-07 | https://data.police.uk/docs/method/crime-street/</x:v>
      </x:c>
      <x:c r="K59" s="9" t="str">
        <x:v>https://www.gov.uk/government/statistical-data-sets/price-paid-data-downloads</x:v>
      </x:c>
      <x:c r="L59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59" s="9" t="str">
        <x:v>https://www.rightmove.co.uk/property-for-sale/find.html?locationIdentifier=REGION%5E1392&amp;minBedrooms=1&amp;maxBedrooms=1&amp;propertyTypes=flat&amp;includeSSTC=false&amp;mustHave=&amp;dontShow=retirement%2CsharedOwnership&amp;furnishTypes=&amp;keywords= | https://www.rightmove.co.uk/property-to-rent/find.html?locationIdentifier=REGION%5E1392&amp;minBedrooms=1&amp;maxBedrooms=1&amp;propertyTypes=flat&amp;includeSSTC=true&amp;mustHave=&amp;dontShow=houseShare%2Cretirement&amp;furnishTypes=&amp;keywords= | https://los.rightmove.co.uk/typeahead?query=Walsall</x:v>
      </x:c>
      <x:c r="N59" s="9" t="str">
        <x:v>https://www.nationalrail.co.uk/journey-planner/ | https://www.traveline.info/ | https://www.tfwm.org.uk/</x:v>
      </x:c>
      <x:c r="O59" s="9" t="str">
        <x:v>https://www.gov.uk/government/publications/strategic-noise-mapping-2022/explaining-the-2022-noise-maps | https://www.gov.uk/government/statistics/english-indices-of-deprivation-2025 | https://www.openstreetmap.org/search?query=Walsall%2C%20UK</x:v>
      </x:c>
    </x:row>
    <x:row r="60">
      <x:c r="A60" s="9" t="str">
        <x:v>Warrington</x:v>
      </x:c>
      <x:c r="B60" s="9" t="str">
        <x:v>Identical-radius centre proxy: 2355 violence/sexual-offence and 452 ASB records in 12 months; relative composite places it in screening band 4/5, but this is not a population-normalised town or neighbourhood rate.</x:v>
      </x:c>
      <x:c r="C60" s="9" t="str">
        <x:v>Median of 498 achieved standard flat/maisonette sales; this is an all-size flat screening proxy, not a one-bedroom estimate.</x:v>
      </x:c>
      <x:c r="D60" s="9" t="str">
        <x:v>Official one-bedroom modelled average for Warrington LA; underlying observation count is not published in the table.</x:v>
      </x:c>
      <x:c r="E60" s="9" t="str">
        <x:v>Rightmove's filtered snapshot returned 56 sale and 40 rental results; these are portal headline counts, not deduplicated properties, and the query does not verify tower stock.</x:v>
      </x:c>
      <x:c r="F60" s="9" t="str">
        <x:v>Broad screen indicates a useful town/city bus-and-rail network; this is a town-level judgement, not a neighbourhood accessibility audit.</x:v>
      </x:c>
      <x:c r="G60" s="9" t="str">
        <x:v>Approximate representative faster weekday journey from Warrington Bank Quay: London 105 min (0 changes), Birmingham 70 min (0 changes); recheck against the exact travel date.</x:v>
      </x:c>
      <x:c r="H60" s="9" t="str">
        <x:v>M6/M62/M56, busy railways and extensive logistics/industry create unusually dense transport-noise corridors.</x:v>
      </x:c>
      <x:c r="I60" s="9" t="str">
        <x:v>Waterways and maintained districts are balanced by logistics, road infrastructure and a mixed town centre.</x:v>
      </x:c>
      <x:c r="J60" s="9" t="str">
        <x:v>https://api.postcodes.io/places?q=Warrington | https://api.postcodes.io/postcodes?lon=-2.590897&amp;lat=53.389570&amp;limit=1&amp;radius=2000 | https://data.police.uk/api/crimes-street/all-crime?lat=53.389570&amp;lng=-2.590897&amp;date=2026-07 | https://data.police.uk/docs/method/crime-street/</x:v>
      </x:c>
      <x:c r="K60" s="9" t="str">
        <x:v>https://www.gov.uk/government/statistical-data-sets/price-paid-data-downloads</x:v>
      </x:c>
      <x:c r="L60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60" s="9" t="str">
        <x:v>https://www.rightmove.co.uk/property-for-sale/find.html?locationIdentifier=REGION%5E1403&amp;minBedrooms=1&amp;maxBedrooms=1&amp;propertyTypes=flat&amp;includeSSTC=false&amp;mustHave=&amp;dontShow=retirement%2CsharedOwnership&amp;furnishTypes=&amp;keywords= | https://www.rightmove.co.uk/property-to-rent/find.html?locationIdentifier=REGION%5E1403&amp;minBedrooms=1&amp;maxBedrooms=1&amp;propertyTypes=flat&amp;includeSSTC=true&amp;mustHave=&amp;dontShow=houseShare%2Cretirement&amp;furnishTypes=&amp;keywords= | https://los.rightmove.co.uk/typeahead?query=Warrington</x:v>
      </x:c>
      <x:c r="N60" s="9" t="str">
        <x:v>https://www.nationalrail.co.uk/journey-planner/ | https://www.traveline.info/</x:v>
      </x:c>
      <x:c r="O60" s="9" t="str">
        <x:v>https://www.gov.uk/government/publications/strategic-noise-mapping-2022/explaining-the-2022-noise-maps | https://www.gov.uk/government/statistics/english-indices-of-deprivation-2025 | https://www.openstreetmap.org/search?query=Warrington%2C%20UK</x:v>
      </x:c>
    </x:row>
    <x:row r="61">
      <x:c r="A61" s="9" t="str">
        <x:v>Wigan</x:v>
      </x:c>
      <x:c r="B61" s="9" t="str">
        <x:v>Unknown: Greater Manchester Police crime data are unavailable on Police.uk; sparse point-query returns are cross-force records and cannot support a comparable indicator.</x:v>
      </x:c>
      <x:c r="C61" s="9" t="str">
        <x:v>Median of 200 achieved standard flat/maisonette sales; this is an all-size flat screening proxy, not a one-bedroom estimate.</x:v>
      </x:c>
      <x:c r="D61" s="9" t="str">
        <x:v>Official one-bedroom modelled average for Wigan LA; underlying observation count is not published in the table.</x:v>
      </x:c>
      <x:c r="E61" s="9" t="str">
        <x:v>Rightmove's filtered snapshot returned 15 sale and 23 rental results; these are portal headline counts, not deduplicated properties, and the query does not verify tower stock.</x:v>
      </x:c>
      <x:c r="F61" s="9" t="str">
        <x:v>Broad screen indicates a useful town/city bus-and-rail network; this is a town-level judgement, not a neighbourhood accessibility audit.</x:v>
      </x:c>
      <x:c r="G61" s="9" t="str">
        <x:v>Approximate representative faster weekday journey from Wigan North Western: London 120 min (0 changes), Birmingham 85 min (0 changes); recheck against the exact travel date.</x:v>
      </x:c>
      <x:c r="H61" s="9" t="str">
        <x:v>M6/M61 access, rail and arterial roads create clear corridors, but overall activity is below major-city intensity.</x:v>
      </x:c>
      <x:c r="I61" s="9" t="str">
        <x:v>Renewal and historic pockets are balanced by post-industrial, traffic-heavy and uneven centre fabric.</x:v>
      </x:c>
      <x:c r="J61" s="9" t="str">
        <x:v>https://api.postcodes.io/places?q=Wigan | https://api.postcodes.io/postcodes?lon=-2.629695&amp;lat=53.545539&amp;limit=1&amp;radius=2000 | https://data.police.uk/api/crimes-street/all-crime?lat=53.545539&amp;lng=-2.629695&amp;date=2026-07 | https://data.police.uk/docs/method/crime-street/ | https://data.police.uk/changelog/</x:v>
      </x:c>
      <x:c r="K61" s="9" t="str">
        <x:v>https://www.gov.uk/government/statistical-data-sets/price-paid-data-downloads</x:v>
      </x:c>
      <x:c r="L61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61" s="9" t="str">
        <x:v>https://www.rightmove.co.uk/property-for-sale/find.html?locationIdentifier=REGION%5E1452&amp;minBedrooms=1&amp;maxBedrooms=1&amp;propertyTypes=flat&amp;includeSSTC=false&amp;mustHave=&amp;dontShow=retirement%2CsharedOwnership&amp;furnishTypes=&amp;keywords= | https://www.rightmove.co.uk/property-to-rent/find.html?locationIdentifier=REGION%5E1452&amp;minBedrooms=1&amp;maxBedrooms=1&amp;propertyTypes=flat&amp;includeSSTC=true&amp;mustHave=&amp;dontShow=houseShare%2Cretirement&amp;furnishTypes=&amp;keywords= | https://los.rightmove.co.uk/typeahead?query=Wigan</x:v>
      </x:c>
      <x:c r="N61" s="9" t="str">
        <x:v>https://www.nationalrail.co.uk/journey-planner/ | https://www.traveline.info/ | https://tfgm.com/</x:v>
      </x:c>
      <x:c r="O61" s="9" t="str">
        <x:v>https://www.gov.uk/government/publications/strategic-noise-mapping-2022/explaining-the-2022-noise-maps | https://www.gov.uk/government/statistics/english-indices-of-deprivation-2025 | https://www.openstreetmap.org/search?query=Wigan%2C%20UK</x:v>
      </x:c>
    </x:row>
    <x:row r="62">
      <x:c r="A62" s="9" t="str">
        <x:v>Wolverhampton</x:v>
      </x:c>
      <x:c r="B62" s="9" t="str">
        <x:v>Identical-radius centre proxy: 3338 violence/sexual-offence and 346 ASB records in 12 months; relative composite places it in screening band 4/5, but this is not a population-normalised town or neighbourhood rate.</x:v>
      </x:c>
      <x:c r="C62" s="9" t="str">
        <x:v>Median of 462 achieved standard flat/maisonette sales; this is an all-size flat screening proxy, not a one-bedroom estimate.</x:v>
      </x:c>
      <x:c r="D62" s="9" t="str">
        <x:v>Official one-bedroom modelled average for Wolverhampton LA; underlying observation count is not published in the table.</x:v>
      </x:c>
      <x:c r="E62" s="9" t="str">
        <x:v>Rightmove's filtered snapshot returned 51 sale and 94 rental results; these are portal headline counts, not deduplicated properties, and the query does not verify tower stock.</x:v>
      </x:c>
      <x:c r="F62" s="9" t="str">
        <x:v>Broad screen indicates a useful town/city bus-and-rail network; this is a town-level judgement, not a neighbourhood accessibility audit.</x:v>
      </x:c>
      <x:c r="G62" s="9" t="str">
        <x:v>Approximate representative faster weekday journey from Wolverhampton: London 105 min (0 changes), Birmingham 20 min (0 changes); recheck against the exact travel date.</x:v>
      </x:c>
      <x:c r="H62" s="9" t="str">
        <x:v>Ring roads, rail/Metro, industry and nearby motorway corridors create substantial persistent noise pressure.</x:v>
      </x:c>
      <x:c r="I62" s="9" t="str">
        <x:v>Civic assets and renewal are offset by extensive deprived, traffic-dominated and post-industrial fabric.</x:v>
      </x:c>
      <x:c r="J62" s="9" t="str">
        <x:v>https://api.postcodes.io/places?q=Wolverhampton | https://api.postcodes.io/postcodes?lon=-2.129916&amp;lat=52.586205&amp;limit=1&amp;radius=2000 | https://data.police.uk/api/crimes-street/all-crime?lat=52.586205&amp;lng=-2.129916&amp;date=2026-07 | https://data.police.uk/docs/method/crime-street/</x:v>
      </x:c>
      <x:c r="K62" s="9" t="str">
        <x:v>https://www.gov.uk/government/statistical-data-sets/price-paid-data-downloads</x:v>
      </x:c>
      <x:c r="L62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62" s="9" t="str">
        <x:v>https://www.rightmove.co.uk/property-for-sale/find.html?locationIdentifier=REGION%5E1476&amp;minBedrooms=1&amp;maxBedrooms=1&amp;propertyTypes=flat&amp;includeSSTC=false&amp;mustHave=&amp;dontShow=retirement%2CsharedOwnership&amp;furnishTypes=&amp;keywords= | https://www.rightmove.co.uk/property-to-rent/find.html?locationIdentifier=REGION%5E1476&amp;minBedrooms=1&amp;maxBedrooms=1&amp;propertyTypes=flat&amp;includeSSTC=true&amp;mustHave=&amp;dontShow=houseShare%2Cretirement&amp;furnishTypes=&amp;keywords= | https://los.rightmove.co.uk/typeahead?query=Wolverhampton</x:v>
      </x:c>
      <x:c r="N62" s="9" t="str">
        <x:v>https://www.nationalrail.co.uk/journey-planner/ | https://www.traveline.info/ | https://www.tfwm.org.uk/</x:v>
      </x:c>
      <x:c r="O62" s="9" t="str">
        <x:v>https://www.gov.uk/government/publications/strategic-noise-mapping-2022/explaining-the-2022-noise-maps | https://www.gov.uk/government/statistics/english-indices-of-deprivation-2025 | https://www.openstreetmap.org/search?query=Wolverhampton%2C%20UK</x:v>
      </x:c>
    </x:row>
    <x:row r="63">
      <x:c r="A63" s="9" t="str">
        <x:v>Worcester</x:v>
      </x:c>
      <x:c r="B63" s="9" t="str">
        <x:v>Identical-radius centre proxy: 2289 violence/sexual-offence and 935 ASB records in 12 months; relative composite places it in screening band 4/5, but this is not a population-normalised town or neighbourhood rate.</x:v>
      </x:c>
      <x:c r="C63" s="9" t="str">
        <x:v>Median of 466 achieved standard flat/maisonette sales; this is an all-size flat screening proxy, not a one-bedroom estimate.</x:v>
      </x:c>
      <x:c r="D63" s="9" t="str">
        <x:v>Official one-bedroom modelled average for Worcester LA; underlying observation count is not published in the table.</x:v>
      </x:c>
      <x:c r="E63" s="9" t="str">
        <x:v>Rightmove's filtered snapshot returned 52 sale and 52 rental results; these are portal headline counts, not deduplicated properties, and the query does not verify tower stock.</x:v>
      </x:c>
      <x:c r="F63" s="9" t="str">
        <x:v>Broad screen indicates basic bus and rail coverage with less network depth; this is a town-level judgement, not a neighbourhood accessibility audit.</x:v>
      </x:c>
      <x:c r="G63" s="9" t="str">
        <x:v>Approximate representative faster weekday journey from Worcester Foregate Street; city has multiple stations: London 125 min (0 changes), Birmingham 45 min (0 changes); recheck against the exact travel date.</x:v>
      </x:c>
      <x:c r="H63" s="9" t="str">
        <x:v>M5 and railways create defined corridors, but the small historic city has much lower-intensity fabric away from them.</x:v>
      </x:c>
      <x:c r="I63" s="9" t="str">
        <x:v>Coherent historic centre, river setting and generally attractive urban fabric support the highest condition score.</x:v>
      </x:c>
      <x:c r="J63" s="9" t="str">
        <x:v>https://api.postcodes.io/places?q=Worcester | https://api.postcodes.io/postcodes?lon=-2.221088&amp;lat=52.192932&amp;limit=1&amp;radius=2000 | https://data.police.uk/api/crimes-street/all-crime?lat=52.192932&amp;lng=-2.221088&amp;date=2026-07 | https://data.police.uk/docs/method/crime-street/</x:v>
      </x:c>
      <x:c r="K63" s="9" t="str">
        <x:v>https://www.gov.uk/government/statistical-data-sets/price-paid-data-downloads</x:v>
      </x:c>
      <x:c r="L63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63" s="9" t="str">
        <x:v>https://www.rightmove.co.uk/property-for-sale/find.html?locationIdentifier=REGION%5E1483&amp;minBedrooms=1&amp;maxBedrooms=1&amp;propertyTypes=flat&amp;includeSSTC=false&amp;mustHave=&amp;dontShow=retirement%2CsharedOwnership&amp;furnishTypes=&amp;keywords= | https://www.rightmove.co.uk/property-to-rent/find.html?locationIdentifier=REGION%5E1483&amp;minBedrooms=1&amp;maxBedrooms=1&amp;propertyTypes=flat&amp;includeSSTC=true&amp;mustHave=&amp;dontShow=houseShare%2Cretirement&amp;furnishTypes=&amp;keywords= | https://los.rightmove.co.uk/typeahead?query=Worcester</x:v>
      </x:c>
      <x:c r="N63" s="9" t="str">
        <x:v>https://www.nationalrail.co.uk/journey-planner/ | https://www.traveline.info/</x:v>
      </x:c>
      <x:c r="O63" s="9" t="str">
        <x:v>https://www.gov.uk/government/publications/strategic-noise-mapping-2022/explaining-the-2022-noise-maps | https://www.gov.uk/government/statistics/english-indices-of-deprivation-2025 | https://www.openstreetmap.org/search?query=Worcester%2C%20UK</x:v>
      </x:c>
    </x:row>
    <x:row r="64">
      <x:c r="A64" s="9" t="str">
        <x:v>Wrexham</x:v>
      </x:c>
      <x:c r="B64" s="9" t="str">
        <x:v>Identical-radius centre proxy: 2095 violence/sexual-offence and 936 ASB records in 12 months; relative composite places it in screening band 4/5, but this is not a population-normalised town or neighbourhood rate.</x:v>
      </x:c>
      <x:c r="C64" s="9" t="str">
        <x:v>Median of 186 achieved standard flat/maisonette sales; this is an all-size flat screening proxy, not a one-bedroom estimate.</x:v>
      </x:c>
      <x:c r="D64" s="9" t="str">
        <x:v>Official one-bedroom modelled average for Wrexham LA; underlying observation count is not published in the table.</x:v>
      </x:c>
      <x:c r="E64" s="9" t="str">
        <x:v>Rightmove's filtered snapshot returned 3 sale and 11 rental results; these are portal headline counts, not deduplicated properties, and the query does not verify tower stock.</x:v>
      </x:c>
      <x:c r="F64" s="9" t="str">
        <x:v>Broad screen indicates basic bus and rail coverage with less network depth; this is a town-level judgement, not a neighbourhood accessibility audit.</x:v>
      </x:c>
      <x:c r="G64" s="9" t="str">
        <x:v>Approximate representative faster weekday journey from Wrexham General: London 140 min (1 change), Birmingham 75 min (1 change); recheck against the exact travel date.</x:v>
      </x:c>
      <x:c r="H64" s="9" t="str">
        <x:v>A483, rail and large industrial estates create noticeable corridors, while the town's scale limits continuous intensity.</x:v>
      </x:c>
      <x:c r="I64" s="9" t="str">
        <x:v>Historic and maintained pockets are balanced by industrial edges and a mixed, sometimes uneven centre.</x:v>
      </x:c>
      <x:c r="J64" s="9" t="str">
        <x:v>https://api.postcodes.io/places?q=Wrexham | https://api.postcodes.io/postcodes?lon=-2.994781&amp;lat=53.047921&amp;limit=1&amp;radius=2000 | https://data.police.uk/api/crimes-street/all-crime?lat=53.047921&amp;lng=-2.994781&amp;date=2026-07 | https://data.police.uk/docs/method/crime-street/</x:v>
      </x:c>
      <x:c r="K64" s="9" t="str">
        <x:v>https://www.gov.uk/government/statistical-data-sets/price-paid-data-downloads</x:v>
      </x:c>
      <x:c r="L64" s="9" t="str">
        <x:v>https://www.ons.gov.uk/economy/inflationandpriceindices/datasets/priceindexofprivaterentsukmonthlypricestatistics | https://www.ons.gov.uk/economy/inflationandpriceindices/bulletins/privaterentandhousepricesuk/august2026</x:v>
      </x:c>
      <x:c r="M64" s="9" t="str">
        <x:v>https://www.rightmove.co.uk/property-for-sale/find.html?locationIdentifier=REGION%5E1489&amp;minBedrooms=1&amp;maxBedrooms=1&amp;propertyTypes=flat&amp;includeSSTC=false&amp;mustHave=&amp;dontShow=retirement%2CsharedOwnership&amp;furnishTypes=&amp;keywords= | https://www.rightmove.co.uk/property-to-rent/find.html?locationIdentifier=REGION%5E1489&amp;minBedrooms=1&amp;maxBedrooms=1&amp;propertyTypes=flat&amp;includeSSTC=true&amp;mustHave=&amp;dontShow=houseShare%2Cretirement&amp;furnishTypes=&amp;keywords= | https://los.rightmove.co.uk/typeahead?query=Wrexham</x:v>
      </x:c>
      <x:c r="N64" s="9" t="str">
        <x:v>https://www.nationalrail.co.uk/journey-planner/ | https://www.traveline.info/ | https://tfw.wales/</x:v>
      </x:c>
      <x:c r="O64" s="9" t="str">
        <x:v>https://datamap.gov.wales/layergroups/geonode%3AEnvironmental_Noise_Mapping_2022 | https://stats.gov.wales/en-GB/c67b9e08-dacc-439a-a244-2fce79b11400 | https://www.openstreetmap.org/search?query=Wrexham%2C%20UK</x:v>
      </x:c>
    </x:row>
  </x:sheetData>
  <x:pageMargins left="0.7" right="0.7" top="0.75" bottom="0.75" header="0.3" footer="0.3"/>
  <x:tableParts count="1">
    <x:tablePart xmlns:r="http://schemas.openxmlformats.org/officeDocument/2006/relationships" r:id="Ra3efcd1f33be48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34" customHeight="1">
      <x:c r="A1" s="7" t="str">
        <x:v>Rank</x:v>
      </x:c>
      <x:c r="B1" s="7" t="str">
        <x:v>Location</x:v>
      </x:c>
      <x:c r="C1" s="7" t="str">
        <x:v>Screen score /100</x:v>
      </x:c>
      <x:c r="D1" s="7" t="str">
        <x:v>All-flat achieved median</x:v>
      </x:c>
      <x:c r="E1" s="7" t="str">
        <x:v>Affordability</x:v>
      </x:c>
      <x:c r="F1" s="7" t="str">
        <x:v>Safety</x:v>
      </x:c>
      <x:c r="G1" s="7" t="str">
        <x:v>Local transport</x:v>
      </x:c>
      <x:c r="H1" s="7" t="str">
        <x:v>Condition</x:v>
      </x:c>
      <x:c r="I1" s="7" t="str">
        <x:v>Quiet</x:v>
      </x:c>
      <x:c r="J1" s="7" t="str">
        <x:v>Stock</x:v>
      </x:c>
      <x:c r="K1" s="7" t="str">
        <x:v>National transport</x:v>
      </x:c>
      <x:c r="L1" s="7" t="str">
        <x:v>Priority subtotal /75</x:v>
      </x:c>
      <x:c r="M1" s="7" t="str">
        <x:v>Serious weaknesses</x:v>
      </x:c>
      <x:c r="N1" s="7" t="str">
        <x:v>Confidence /3</x:v>
      </x:c>
      <x:c r="O1" s="7" t="str">
        <x:v>Unknowns</x:v>
      </x:c>
      <x:c r="P1" s="7" t="str">
        <x:v>Shortlist</x:v>
      </x:c>
      <x:c r="Q1" s="7" t="str">
        <x:v>Qualified via</x:v>
      </x:c>
    </x:row>
    <x:row r="2">
      <x:c r="A2" s="9" t="n">
        <x:v>1</x:v>
      </x:c>
      <x:c r="B2" s="9" t="str">
        <x:v>Chester</x:v>
      </x:c>
      <x:c r="C2" s="13" t="n">
        <x:f>'Broad Screen'!$AK$11</x:f>
        <x:v>72.5</x:v>
      </x:c>
      <x:c r="D2" s="10" t="n">
        <x:f>'Broad Screen'!$K$11</x:f>
        <x:v>165000</x:v>
      </x:c>
      <x:c r="E2" s="9" t="n">
        <x:f>'Broad Screen'!$N$11</x:f>
        <x:v>1</x:v>
      </x:c>
      <x:c r="F2" s="9" t="n">
        <x:f>'Broad Screen'!$I$11</x:f>
        <x:v>5</x:v>
      </x:c>
      <x:c r="G2" s="9" t="n">
        <x:f>'Broad Screen'!$Y$11</x:f>
        <x:v>4</x:v>
      </x:c>
      <x:c r="H2" s="9" t="n">
        <x:f>'Broad Screen'!$AI$11</x:f>
        <x:v>5</x:v>
      </x:c>
      <x:c r="I2" s="9" t="n">
        <x:f>'Broad Screen'!$AG$11</x:f>
        <x:v>4</x:v>
      </x:c>
      <x:c r="J2" s="9" t="n">
        <x:f>'Broad Screen'!$W$11</x:f>
        <x:v>2.5</x:v>
      </x:c>
      <x:c r="K2" s="9" t="n">
        <x:f>'Broad Screen'!$AE$11</x:f>
        <x:v>4</x:v>
      </x:c>
      <x:c r="L2" s="13" t="n">
        <x:f>'Broad Screen'!$AM$11</x:f>
        <x:v>57</x:v>
      </x:c>
      <x:c r="M2" s="9" t="n">
        <x:f>'Broad Screen'!$AO$11</x:f>
        <x:v>0</x:v>
      </x:c>
      <x:c r="N2" s="14" t="n">
        <x:f>'Broad Screen'!$AP$11</x:f>
        <x:v>2.142857142857143</x:v>
      </x:c>
      <x:c r="O2" s="9" t="n">
        <x:f>'Broad Screen'!$AR$11</x:f>
        <x:v>0</x:v>
      </x:c>
      <x:c r="P2" s="9" t="str">
        <x:v>Proposed</x:v>
      </x:c>
      <x:c r="Q2" s="9" t="str">
        <x:v>Both</x:v>
      </x:c>
    </x:row>
    <x:row r="3">
      <x:c r="A3" s="9" t="n">
        <x:v>2</x:v>
      </x:c>
      <x:c r="B3" s="9" t="str">
        <x:v>Lancaster</x:v>
      </x:c>
      <x:c r="C3" s="13" t="n">
        <x:f>'Broad Screen'!$AK$25</x:f>
        <x:v>72.5</x:v>
      </x:c>
      <x:c r="D3" s="10" t="n">
        <x:f>'Broad Screen'!$K$25</x:f>
        <x:v>130000</x:v>
      </x:c>
      <x:c r="E3" s="9" t="n">
        <x:f>'Broad Screen'!$N$25</x:f>
        <x:v>3</x:v>
      </x:c>
      <x:c r="F3" s="9" t="n">
        <x:f>'Broad Screen'!$I$25</x:f>
        <x:v>4</x:v>
      </x:c>
      <x:c r="G3" s="9" t="n">
        <x:f>'Broad Screen'!$Y$25</x:f>
        <x:v>4</x:v>
      </x:c>
      <x:c r="H3" s="9" t="n">
        <x:f>'Broad Screen'!$AI$25</x:f>
        <x:v>4</x:v>
      </x:c>
      <x:c r="I3" s="9" t="n">
        <x:f>'Broad Screen'!$AG$25</x:f>
        <x:v>4</x:v>
      </x:c>
      <x:c r="J3" s="9" t="n">
        <x:f>'Broad Screen'!$W$25</x:f>
        <x:v>2.5</x:v>
      </x:c>
      <x:c r="K3" s="9" t="n">
        <x:f>'Broad Screen'!$AE$25</x:f>
        <x:v>4</x:v>
      </x:c>
      <x:c r="L3" s="13" t="n">
        <x:f>'Broad Screen'!$AM$25</x:f>
        <x:v>57</x:v>
      </x:c>
      <x:c r="M3" s="9" t="n">
        <x:f>'Broad Screen'!$AO$25</x:f>
        <x:v>0</x:v>
      </x:c>
      <x:c r="N3" s="14" t="n">
        <x:f>'Broad Screen'!$AP$25</x:f>
        <x:v>2.142857142857143</x:v>
      </x:c>
      <x:c r="O3" s="9" t="n">
        <x:f>'Broad Screen'!$AR$25</x:f>
        <x:v>0</x:v>
      </x:c>
      <x:c r="P3" s="9" t="str">
        <x:v>Proposed</x:v>
      </x:c>
      <x:c r="Q3" s="9" t="str">
        <x:v>Both</x:v>
      </x:c>
    </x:row>
    <x:row r="4">
      <x:c r="A4" s="9" t="n">
        <x:v>3</x:v>
      </x:c>
      <x:c r="B4" s="9" t="str">
        <x:v>Stafford</x:v>
      </x:c>
      <x:c r="C4" s="13" t="n">
        <x:f>'Broad Screen'!$AK$49</x:f>
        <x:v>71.5</x:v>
      </x:c>
      <x:c r="D4" s="10" t="n">
        <x:f>'Broad Screen'!$K$49</x:f>
        <x:v>125000</x:v>
      </x:c>
      <x:c r="E4" s="9" t="n">
        <x:f>'Broad Screen'!$N$49</x:f>
        <x:v>3</x:v>
      </x:c>
      <x:c r="F4" s="9" t="n">
        <x:f>'Broad Screen'!$I$49</x:f>
        <x:v>5</x:v>
      </x:c>
      <x:c r="G4" s="9" t="n">
        <x:f>'Broad Screen'!$Y$49</x:f>
        <x:v>3</x:v>
      </x:c>
      <x:c r="H4" s="9" t="n">
        <x:f>'Broad Screen'!$AI$49</x:f>
        <x:v>4</x:v>
      </x:c>
      <x:c r="I4" s="9" t="n">
        <x:f>'Broad Screen'!$AG$49</x:f>
        <x:v>4</x:v>
      </x:c>
      <x:c r="J4" s="9" t="n">
        <x:f>'Broad Screen'!$W$49</x:f>
        <x:v>1.5</x:v>
      </x:c>
      <x:c r="K4" s="9" t="n">
        <x:f>'Broad Screen'!$AE$49</x:f>
        <x:v>5</x:v>
      </x:c>
      <x:c r="L4" s="13" t="n">
        <x:f>'Broad Screen'!$AM$49</x:f>
        <x:v>57</x:v>
      </x:c>
      <x:c r="M4" s="9" t="n">
        <x:f>'Broad Screen'!$AO$49</x:f>
        <x:v>0</x:v>
      </x:c>
      <x:c r="N4" s="14" t="n">
        <x:f>'Broad Screen'!$AP$49</x:f>
        <x:v>2.142857142857143</x:v>
      </x:c>
      <x:c r="O4" s="9" t="n">
        <x:f>'Broad Screen'!$AR$49</x:f>
        <x:v>0</x:v>
      </x:c>
      <x:c r="P4" s="9" t="str">
        <x:v>Proposed</x:v>
      </x:c>
      <x:c r="Q4" s="9" t="str">
        <x:v>Both</x:v>
      </x:c>
    </x:row>
    <x:row r="5">
      <x:c r="A5" s="9" t="n">
        <x:v>4</x:v>
      </x:c>
      <x:c r="B5" s="9" t="str">
        <x:v>Burton-on-Trent</x:v>
      </x:c>
      <x:c r="C5" s="13" t="n">
        <x:f>'Broad Screen'!$AK$9</x:f>
        <x:v>71.5</x:v>
      </x:c>
      <x:c r="D5" s="10" t="n">
        <x:f>'Broad Screen'!$K$9</x:f>
        <x:v>104000</x:v>
      </x:c>
      <x:c r="E5" s="9" t="n">
        <x:f>'Broad Screen'!$N$9</x:f>
        <x:v>5</x:v>
      </x:c>
      <x:c r="F5" s="9" t="n">
        <x:f>'Broad Screen'!$I$9</x:f>
        <x:v>5</x:v>
      </x:c>
      <x:c r="G5" s="9" t="n">
        <x:f>'Broad Screen'!$Y$9</x:f>
        <x:v>3</x:v>
      </x:c>
      <x:c r="H5" s="9" t="n">
        <x:f>'Broad Screen'!$AI$9</x:f>
        <x:v>3</x:v>
      </x:c>
      <x:c r="I5" s="9" t="n">
        <x:f>'Broad Screen'!$AG$9</x:f>
        <x:v>2</x:v>
      </x:c>
      <x:c r="J5" s="9" t="n">
        <x:f>'Broad Screen'!$W$9</x:f>
        <x:v>2.5</x:v>
      </x:c>
      <x:c r="K5" s="9" t="n">
        <x:f>'Broad Screen'!$AE$9</x:f>
        <x:v>5</x:v>
      </x:c>
      <x:c r="L5" s="13" t="n">
        <x:f>'Broad Screen'!$AM$9</x:f>
        <x:v>54</x:v>
      </x:c>
      <x:c r="M5" s="9" t="n">
        <x:f>'Broad Screen'!$AO$9</x:f>
        <x:v>0</x:v>
      </x:c>
      <x:c r="N5" s="14" t="n">
        <x:f>'Broad Screen'!$AP$9</x:f>
        <x:v>2</x:v>
      </x:c>
      <x:c r="O5" s="9" t="n">
        <x:f>'Broad Screen'!$AR$9</x:f>
        <x:v>0</x:v>
      </x:c>
      <x:c r="P5" s="9" t="str">
        <x:v>Proposed</x:v>
      </x:c>
      <x:c r="Q5" s="9" t="str">
        <x:v>Buy</x:v>
      </x:c>
    </x:row>
    <x:row r="6">
      <x:c r="A6" s="9" t="n">
        <x:v>5</x:v>
      </x:c>
      <x:c r="B6" s="9" t="str">
        <x:v>Huddersfield</x:v>
      </x:c>
      <x:c r="C6" s="13" t="n">
        <x:f>'Broad Screen'!$AK$21</x:f>
        <x:v>70.5</x:v>
      </x:c>
      <x:c r="D6" s="10" t="n">
        <x:f>'Broad Screen'!$K$21</x:f>
        <x:v>110000</x:v>
      </x:c>
      <x:c r="E6" s="9" t="n">
        <x:f>'Broad Screen'!$N$21</x:f>
        <x:v>5</x:v>
      </x:c>
      <x:c r="F6" s="9" t="n">
        <x:f>'Broad Screen'!$I$21</x:f>
        <x:v>4</x:v>
      </x:c>
      <x:c r="G6" s="9" t="n">
        <x:f>'Broad Screen'!$Y$21</x:f>
        <x:v>4</x:v>
      </x:c>
      <x:c r="H6" s="9" t="n">
        <x:f>'Broad Screen'!$AI$21</x:f>
        <x:v>3</x:v>
      </x:c>
      <x:c r="I6" s="9" t="n">
        <x:f>'Broad Screen'!$AG$21</x:f>
        <x:v>3</x:v>
      </x:c>
      <x:c r="J6" s="9" t="n">
        <x:f>'Broad Screen'!$W$21</x:f>
        <x:v>2.5</x:v>
      </x:c>
      <x:c r="K6" s="9" t="n">
        <x:f>'Broad Screen'!$AE$21</x:f>
        <x:v>3</x:v>
      </x:c>
      <x:c r="L6" s="13" t="n">
        <x:f>'Broad Screen'!$AM$21</x:f>
        <x:v>57</x:v>
      </x:c>
      <x:c r="M6" s="9" t="n">
        <x:f>'Broad Screen'!$AO$21</x:f>
        <x:v>0</x:v>
      </x:c>
      <x:c r="N6" s="14" t="n">
        <x:f>'Broad Screen'!$AP$21</x:f>
        <x:v>2.142857142857143</x:v>
      </x:c>
      <x:c r="O6" s="9" t="n">
        <x:f>'Broad Screen'!$AR$21</x:f>
        <x:v>0</x:v>
      </x:c>
      <x:c r="P6" s="9" t="str">
        <x:v>Proposed</x:v>
      </x:c>
      <x:c r="Q6" s="9" t="str">
        <x:v>Both</x:v>
      </x:c>
    </x:row>
    <x:row r="7">
      <x:c r="A7" s="9" t="n">
        <x:v>6</x:v>
      </x:c>
      <x:c r="B7" s="9" t="str">
        <x:v>Hull (Kingston upon Hull)</x:v>
      </x:c>
      <x:c r="C7" s="13" t="n">
        <x:f>'Broad Screen'!$AK$22</x:f>
        <x:v>70.5</x:v>
      </x:c>
      <x:c r="D7" s="10" t="n">
        <x:f>'Broad Screen'!$K$22</x:f>
        <x:v>95000</x:v>
      </x:c>
      <x:c r="E7" s="9" t="n">
        <x:f>'Broad Screen'!$N$22</x:f>
        <x:v>5</x:v>
      </x:c>
      <x:c r="F7" s="9" t="n">
        <x:f>'Broad Screen'!$I$22</x:f>
        <x:v>4</x:v>
      </x:c>
      <x:c r="G7" s="9" t="n">
        <x:f>'Broad Screen'!$Y$22</x:f>
        <x:v>4</x:v>
      </x:c>
      <x:c r="H7" s="9" t="n">
        <x:f>'Broad Screen'!$AI$22</x:f>
        <x:v>3</x:v>
      </x:c>
      <x:c r="I7" s="9" t="n">
        <x:f>'Broad Screen'!$AG$22</x:f>
        <x:v>2</x:v>
      </x:c>
      <x:c r="J7" s="9" t="n">
        <x:f>'Broad Screen'!$W$22</x:f>
        <x:v>3.5</x:v>
      </x:c>
      <x:c r="K7" s="9" t="n">
        <x:f>'Broad Screen'!$AE$22</x:f>
        <x:v>3</x:v>
      </x:c>
      <x:c r="L7" s="13" t="n">
        <x:f>'Broad Screen'!$AM$22</x:f>
        <x:v>54</x:v>
      </x:c>
      <x:c r="M7" s="9" t="n">
        <x:f>'Broad Screen'!$AO$22</x:f>
        <x:v>0</x:v>
      </x:c>
      <x:c r="N7" s="14" t="n">
        <x:f>'Broad Screen'!$AP$22</x:f>
        <x:v>2</x:v>
      </x:c>
      <x:c r="O7" s="9" t="n">
        <x:f>'Broad Screen'!$AR$22</x:f>
        <x:v>0</x:v>
      </x:c>
      <x:c r="P7" s="9" t="str">
        <x:v>Proposed</x:v>
      </x:c>
      <x:c r="Q7" s="9" t="str">
        <x:v>Both</x:v>
      </x:c>
    </x:row>
    <x:row r="8">
      <x:c r="A8" s="9" t="n">
        <x:v>7</x:v>
      </x:c>
      <x:c r="B8" s="9" t="str">
        <x:v>Shrewsbury</x:v>
      </x:c>
      <x:c r="C8" s="13" t="n">
        <x:f>'Broad Screen'!$AK$47</x:f>
        <x:v>69.5</x:v>
      </x:c>
      <x:c r="D8" s="10" t="n">
        <x:f>'Broad Screen'!$K$47</x:f>
        <x:v>157500</x:v>
      </x:c>
      <x:c r="E8" s="9" t="n">
        <x:f>'Broad Screen'!$N$47</x:f>
        <x:v>1</x:v>
      </x:c>
      <x:c r="F8" s="9" t="n">
        <x:f>'Broad Screen'!$I$47</x:f>
        <x:v>5</x:v>
      </x:c>
      <x:c r="G8" s="9" t="n">
        <x:f>'Broad Screen'!$Y$47</x:f>
        <x:v>3</x:v>
      </x:c>
      <x:c r="H8" s="9" t="n">
        <x:f>'Broad Screen'!$AI$47</x:f>
        <x:v>5</x:v>
      </x:c>
      <x:c r="I8" s="9" t="n">
        <x:f>'Broad Screen'!$AG$47</x:f>
        <x:v>4</x:v>
      </x:c>
      <x:c r="J8" s="9" t="n">
        <x:f>'Broad Screen'!$W$47</x:f>
        <x:v>2.5</x:v>
      </x:c>
      <x:c r="K8" s="9" t="n">
        <x:f>'Broad Screen'!$AE$47</x:f>
        <x:v>4</x:v>
      </x:c>
      <x:c r="L8" s="13" t="n">
        <x:f>'Broad Screen'!$AM$47</x:f>
        <x:v>54</x:v>
      </x:c>
      <x:c r="M8" s="9" t="n">
        <x:f>'Broad Screen'!$AO$47</x:f>
        <x:v>0</x:v>
      </x:c>
      <x:c r="N8" s="14" t="n">
        <x:f>'Broad Screen'!$AP$47</x:f>
        <x:v>2.142857142857143</x:v>
      </x:c>
      <x:c r="O8" s="9" t="n">
        <x:f>'Broad Screen'!$AR$47</x:f>
        <x:v>0</x:v>
      </x:c>
      <x:c r="P8" s="9" t="str">
        <x:v>Proposed</x:v>
      </x:c>
      <x:c r="Q8" s="9" t="str">
        <x:v>Both</x:v>
      </x:c>
    </x:row>
    <x:row r="9">
      <x:c r="A9" s="9" t="n">
        <x:v>8</x:v>
      </x:c>
      <x:c r="B9" s="9" t="str">
        <x:v>Wigan</x:v>
      </x:c>
      <x:c r="C9" s="13" t="n">
        <x:f>'Broad Screen'!$AK$61</x:f>
        <x:v>67.6470588235294</x:v>
      </x:c>
      <x:c r="D9" s="10" t="n">
        <x:f>'Broad Screen'!$K$61</x:f>
        <x:v>103750</x:v>
      </x:c>
      <x:c r="E9" s="9" t="n">
        <x:f>'Broad Screen'!$N$61</x:f>
        <x:v>5</x:v>
      </x:c>
      <x:c r="F9" s="9" t="n">
        <x:f>'Broad Screen'!$I$61</x:f>
        <x:v>0</x:v>
      </x:c>
      <x:c r="G9" s="9" t="n">
        <x:f>'Broad Screen'!$Y$61</x:f>
        <x:v>4</x:v>
      </x:c>
      <x:c r="H9" s="9" t="n">
        <x:f>'Broad Screen'!$AI$61</x:f>
        <x:v>3</x:v>
      </x:c>
      <x:c r="I9" s="9" t="n">
        <x:f>'Broad Screen'!$AG$61</x:f>
        <x:v>3</x:v>
      </x:c>
      <x:c r="J9" s="9" t="n">
        <x:f>'Broad Screen'!$W$61</x:f>
        <x:v>1.5</x:v>
      </x:c>
      <x:c r="K9" s="9" t="n">
        <x:f>'Broad Screen'!$AE$61</x:f>
        <x:v>4</x:v>
      </x:c>
      <x:c r="L9" s="13" t="n">
        <x:f>'Broad Screen'!$AM$61</x:f>
        <x:v>56.25</x:v>
      </x:c>
      <x:c r="M9" s="9" t="n">
        <x:f>'Broad Screen'!$AO$61</x:f>
        <x:v>0</x:v>
      </x:c>
      <x:c r="N9" s="14" t="n">
        <x:f>'Broad Screen'!$AP$61</x:f>
        <x:v>2</x:v>
      </x:c>
      <x:c r="O9" s="9" t="n">
        <x:f>'Broad Screen'!$AR$61</x:f>
        <x:v>1</x:v>
      </x:c>
      <x:c r="P9" s="9" t="str">
        <x:v>Proposed</x:v>
      </x:c>
      <x:c r="Q9" s="9" t="str">
        <x:v>Both</x:v>
      </x:c>
    </x:row>
    <x:row r="10">
      <x:c r="A10" s="9" t="n">
        <x:v>9</x:v>
      </x:c>
      <x:c r="B10" s="9" t="str">
        <x:v>Manchester</x:v>
      </x:c>
      <x:c r="C10" s="13" t="n">
        <x:f>'Broad Screen'!$AK$31</x:f>
        <x:v>67.6470588235294</x:v>
      </x:c>
      <x:c r="D10" s="10" t="n">
        <x:f>'Broad Screen'!$K$31</x:f>
        <x:v>192500</x:v>
      </x:c>
      <x:c r="E10" s="9" t="n">
        <x:f>'Broad Screen'!$N$31</x:f>
        <x:v>1</x:v>
      </x:c>
      <x:c r="F10" s="9" t="n">
        <x:f>'Broad Screen'!$I$31</x:f>
        <x:v>0</x:v>
      </x:c>
      <x:c r="G10" s="9" t="n">
        <x:f>'Broad Screen'!$Y$31</x:f>
        <x:v>5</x:v>
      </x:c>
      <x:c r="H10" s="9" t="n">
        <x:f>'Broad Screen'!$AI$31</x:f>
        <x:v>4</x:v>
      </x:c>
      <x:c r="I10" s="9" t="n">
        <x:f>'Broad Screen'!$AG$31</x:f>
        <x:v>2</x:v>
      </x:c>
      <x:c r="J10" s="9" t="n">
        <x:f>'Broad Screen'!$W$31</x:f>
        <x:v>4.5</x:v>
      </x:c>
      <x:c r="K10" s="9" t="n">
        <x:f>'Broad Screen'!$AE$31</x:f>
        <x:v>4</x:v>
      </x:c>
      <x:c r="L10" s="13" t="n">
        <x:f>'Broad Screen'!$AM$31</x:f>
        <x:v>45</x:v>
      </x:c>
      <x:c r="M10" s="9" t="n">
        <x:f>'Broad Screen'!$AO$31</x:f>
        <x:v>0</x:v>
      </x:c>
      <x:c r="N10" s="14" t="n">
        <x:f>'Broad Screen'!$AP$31</x:f>
        <x:v>2.142857142857143</x:v>
      </x:c>
      <x:c r="O10" s="9" t="n">
        <x:f>'Broad Screen'!$AR$31</x:f>
        <x:v>1</x:v>
      </x:c>
      <x:c r="P10" s="9" t="str">
        <x:v>Proposed</x:v>
      </x:c>
      <x:c r="Q10" s="9" t="str">
        <x:v>Both</x:v>
      </x:c>
    </x:row>
    <x:row r="11">
      <x:c r="A11" s="9" t="n">
        <x:v>10</x:v>
      </x:c>
      <x:c r="B11" s="9" t="str">
        <x:v>Barnsley</x:v>
      </x:c>
      <x:c r="C11" s="13" t="n">
        <x:f>'Broad Screen'!$AK$2</x:f>
        <x:v>66.5</x:v>
      </x:c>
      <x:c r="D11" s="10" t="n">
        <x:f>'Broad Screen'!$K$2</x:f>
        <x:v>100000</x:v>
      </x:c>
      <x:c r="E11" s="9" t="n">
        <x:f>'Broad Screen'!$N$2</x:f>
        <x:v>5</x:v>
      </x:c>
      <x:c r="F11" s="9" t="n">
        <x:f>'Broad Screen'!$I$2</x:f>
        <x:v>4</x:v>
      </x:c>
      <x:c r="G11" s="9" t="n">
        <x:f>'Broad Screen'!$Y$2</x:f>
        <x:v>3</x:v>
      </x:c>
      <x:c r="H11" s="9" t="n">
        <x:f>'Broad Screen'!$AI$2</x:f>
        <x:v>2</x:v>
      </x:c>
      <x:c r="I11" s="9" t="n">
        <x:f>'Broad Screen'!$AG$2</x:f>
        <x:v>3</x:v>
      </x:c>
      <x:c r="J11" s="9" t="n">
        <x:f>'Broad Screen'!$W$2</x:f>
        <x:v>2.5</x:v>
      </x:c>
      <x:c r="K11" s="9" t="n">
        <x:f>'Broad Screen'!$AE$2</x:f>
        <x:v>4</x:v>
      </x:c>
      <x:c r="L11" s="13" t="n">
        <x:f>'Broad Screen'!$AM$2</x:f>
        <x:v>51</x:v>
      </x:c>
      <x:c r="M11" s="9" t="n">
        <x:f>'Broad Screen'!$AO$2</x:f>
        <x:v>0</x:v>
      </x:c>
      <x:c r="N11" s="14" t="n">
        <x:f>'Broad Screen'!$AP$2</x:f>
        <x:v>2.142857142857143</x:v>
      </x:c>
      <x:c r="O11" s="9" t="n">
        <x:f>'Broad Screen'!$AR$2</x:f>
        <x:v>0</x:v>
      </x:c>
      <x:c r="P11" s="9" t="str">
        <x:v>Proposed</x:v>
      </x:c>
      <x:c r="Q11" s="9" t="str">
        <x:v>Buy</x:v>
      </x:c>
    </x:row>
    <x:row r="12">
      <x:c r="A12" s="9" t="n">
        <x:v>11</x:v>
      </x:c>
      <x:c r="B12" s="9" t="str">
        <x:v>Telford</x:v>
      </x:c>
      <x:c r="C12" s="13" t="n">
        <x:f>'Broad Screen'!$AK$56</x:f>
        <x:v>66.5</x:v>
      </x:c>
      <x:c r="D12" s="10" t="n">
        <x:f>'Broad Screen'!$K$56</x:f>
        <x:v>113500</x:v>
      </x:c>
      <x:c r="E12" s="9" t="n">
        <x:f>'Broad Screen'!$N$56</x:f>
        <x:v>3</x:v>
      </x:c>
      <x:c r="F12" s="9" t="n">
        <x:f>'Broad Screen'!$I$56</x:f>
        <x:v>5</x:v>
      </x:c>
      <x:c r="G12" s="9" t="n">
        <x:f>'Broad Screen'!$Y$56</x:f>
        <x:v>3</x:v>
      </x:c>
      <x:c r="H12" s="9" t="n">
        <x:f>'Broad Screen'!$AI$56</x:f>
        <x:v>3</x:v>
      </x:c>
      <x:c r="I12" s="9" t="n">
        <x:f>'Broad Screen'!$AG$56</x:f>
        <x:v>3</x:v>
      </x:c>
      <x:c r="J12" s="9" t="n">
        <x:f>'Broad Screen'!$W$56</x:f>
        <x:v>2.5</x:v>
      </x:c>
      <x:c r="K12" s="9" t="n">
        <x:f>'Broad Screen'!$AE$56</x:f>
        <x:v>4</x:v>
      </x:c>
      <x:c r="L12" s="13" t="n">
        <x:f>'Broad Screen'!$AM$56</x:f>
        <x:v>51</x:v>
      </x:c>
      <x:c r="M12" s="9" t="n">
        <x:f>'Broad Screen'!$AO$56</x:f>
        <x:v>0</x:v>
      </x:c>
      <x:c r="N12" s="14" t="n">
        <x:f>'Broad Screen'!$AP$56</x:f>
        <x:v>2.142857142857143</x:v>
      </x:c>
      <x:c r="O12" s="9" t="n">
        <x:f>'Broad Screen'!$AR$56</x:f>
        <x:v>0</x:v>
      </x:c>
      <x:c r="P12" s="9" t="str">
        <x:v>Proposed</x:v>
      </x:c>
      <x:c r="Q12" s="9" t="str">
        <x:v>Buy</x:v>
      </x:c>
    </x:row>
    <x:row r="13">
      <x:c r="A13" s="9" t="n">
        <x:v>12</x:v>
      </x:c>
      <x:c r="B13" s="9" t="str">
        <x:v>Worcester</x:v>
      </x:c>
      <x:c r="C13" s="13" t="n">
        <x:f>'Broad Screen'!$AK$63</x:f>
        <x:v>66.5</x:v>
      </x:c>
      <x:c r="D13" s="10" t="n">
        <x:f>'Broad Screen'!$K$63</x:f>
        <x:v>145500</x:v>
      </x:c>
      <x:c r="E13" s="9" t="n">
        <x:f>'Broad Screen'!$N$63</x:f>
        <x:v>1</x:v>
      </x:c>
      <x:c r="F13" s="9" t="n">
        <x:f>'Broad Screen'!$I$63</x:f>
        <x:v>4</x:v>
      </x:c>
      <x:c r="G13" s="9" t="n">
        <x:f>'Broad Screen'!$Y$63</x:f>
        <x:v>3</x:v>
      </x:c>
      <x:c r="H13" s="9" t="n">
        <x:f>'Broad Screen'!$AI$63</x:f>
        <x:v>5</x:v>
      </x:c>
      <x:c r="I13" s="9" t="n">
        <x:f>'Broad Screen'!$AG$63</x:f>
        <x:v>4</x:v>
      </x:c>
      <x:c r="J13" s="9" t="n">
        <x:f>'Broad Screen'!$W$63</x:f>
        <x:v>2.5</x:v>
      </x:c>
      <x:c r="K13" s="9" t="n">
        <x:f>'Broad Screen'!$AE$63</x:f>
        <x:v>4</x:v>
      </x:c>
      <x:c r="L13" s="13" t="n">
        <x:f>'Broad Screen'!$AM$63</x:f>
        <x:v>51</x:v>
      </x:c>
      <x:c r="M13" s="9" t="n">
        <x:f>'Broad Screen'!$AO$63</x:f>
        <x:v>0</x:v>
      </x:c>
      <x:c r="N13" s="14" t="n">
        <x:f>'Broad Screen'!$AP$63</x:f>
        <x:v>2</x:v>
      </x:c>
      <x:c r="O13" s="9" t="n">
        <x:f>'Broad Screen'!$AR$63</x:f>
        <x:v>0</x:v>
      </x:c>
      <x:c r="P13" s="9" t="str">
        <x:v>Proposed</x:v>
      </x:c>
      <x:c r="Q13" s="9" t="str">
        <x:v>Buy</x:v>
      </x:c>
    </x:row>
    <x:row r="14">
      <x:c r="A14" s="9" t="n">
        <x:v>13</x:v>
      </x:c>
      <x:c r="B14" s="9" t="str">
        <x:v>Norwich</x:v>
      </x:c>
      <x:c r="C14" s="13" t="n">
        <x:f>'Broad Screen'!$AK$38</x:f>
        <x:v>66.5</x:v>
      </x:c>
      <x:c r="D14" s="10" t="n">
        <x:f>'Broad Screen'!$K$38</x:f>
        <x:v>155000</x:v>
      </x:c>
      <x:c r="E14" s="9" t="n">
        <x:f>'Broad Screen'!$N$38</x:f>
        <x:v>1</x:v>
      </x:c>
      <x:c r="F14" s="9" t="n">
        <x:f>'Broad Screen'!$I$38</x:f>
        <x:v>2</x:v>
      </x:c>
      <x:c r="G14" s="9" t="n">
        <x:f>'Broad Screen'!$Y$38</x:f>
        <x:v>4</x:v>
      </x:c>
      <x:c r="H14" s="9" t="n">
        <x:f>'Broad Screen'!$AI$38</x:f>
        <x:v>5</x:v>
      </x:c>
      <x:c r="I14" s="9" t="n">
        <x:f>'Broad Screen'!$AG$38</x:f>
        <x:v>4</x:v>
      </x:c>
      <x:c r="J14" s="9" t="n">
        <x:f>'Broad Screen'!$W$38</x:f>
        <x:v>3.5</x:v>
      </x:c>
      <x:c r="K14" s="9" t="n">
        <x:f>'Broad Screen'!$AE$38</x:f>
        <x:v>4</x:v>
      </x:c>
      <x:c r="L14" s="13" t="n">
        <x:f>'Broad Screen'!$AM$38</x:f>
        <x:v>48</x:v>
      </x:c>
      <x:c r="M14" s="9" t="n">
        <x:f>'Broad Screen'!$AO$38</x:f>
        <x:v>0</x:v>
      </x:c>
      <x:c r="N14" s="14" t="n">
        <x:f>'Broad Screen'!$AP$38</x:f>
        <x:v>2.142857142857143</x:v>
      </x:c>
      <x:c r="O14" s="9" t="n">
        <x:f>'Broad Screen'!$AR$38</x:f>
        <x:v>0</x:v>
      </x:c>
      <x:c r="P14" s="9" t="str">
        <x:v>Not proposed</x:v>
      </x:c>
      <x:c r="Q14" s="9" t="str"/>
    </x:row>
    <x:row r="15">
      <x:c r="A15" s="9" t="n">
        <x:v>14</x:v>
      </x:c>
      <x:c r="B15" s="9" t="str">
        <x:v>Neath</x:v>
      </x:c>
      <x:c r="C15" s="13" t="n">
        <x:f>'Broad Screen'!$AK$34</x:f>
        <x:v>66</x:v>
      </x:c>
      <x:c r="D15" s="10" t="n">
        <x:f>'Broad Screen'!$K$34</x:f>
        <x:v>91250</x:v>
      </x:c>
      <x:c r="E15" s="9" t="n">
        <x:f>'Broad Screen'!$N$34</x:f>
        <x:v>5</x:v>
      </x:c>
      <x:c r="F15" s="9" t="n">
        <x:f>'Broad Screen'!$I$34</x:f>
        <x:v>5</x:v>
      </x:c>
      <x:c r="G15" s="9" t="n">
        <x:f>'Broad Screen'!$Y$34</x:f>
        <x:v>3</x:v>
      </x:c>
      <x:c r="H15" s="9" t="n">
        <x:f>'Broad Screen'!$AI$34</x:f>
        <x:v>3</x:v>
      </x:c>
      <x:c r="I15" s="9" t="n">
        <x:f>'Broad Screen'!$AG$34</x:f>
        <x:v>3</x:v>
      </x:c>
      <x:c r="J15" s="9" t="n">
        <x:f>'Broad Screen'!$W$34</x:f>
        <x:v>1</x:v>
      </x:c>
      <x:c r="K15" s="9" t="n">
        <x:f>'Broad Screen'!$AE$34</x:f>
        <x:v>3</x:v>
      </x:c>
      <x:c r="L15" s="13" t="n">
        <x:f>'Broad Screen'!$AM$34</x:f>
        <x:v>57</x:v>
      </x:c>
      <x:c r="M15" s="9" t="n">
        <x:f>'Broad Screen'!$AO$34</x:f>
        <x:v>0</x:v>
      </x:c>
      <x:c r="N15" s="14" t="n">
        <x:f>'Broad Screen'!$AP$34</x:f>
        <x:v>1.8571428571428572</x:v>
      </x:c>
      <x:c r="O15" s="9" t="n">
        <x:f>'Broad Screen'!$AR$34</x:f>
        <x:v>0</x:v>
      </x:c>
      <x:c r="P15" s="9" t="str">
        <x:v>Not proposed</x:v>
      </x:c>
      <x:c r="Q15" s="9" t="str"/>
    </x:row>
    <x:row r="16">
      <x:c r="A16" s="9" t="n">
        <x:v>15</x:v>
      </x:c>
      <x:c r="B16" s="9" t="str">
        <x:v>Chesterfield</x:v>
      </x:c>
      <x:c r="C16" s="13" t="n">
        <x:f>'Broad Screen'!$AK$12</x:f>
        <x:v>65.5</x:v>
      </x:c>
      <x:c r="D16" s="10" t="n">
        <x:f>'Broad Screen'!$K$12</x:f>
        <x:v>115500</x:v>
      </x:c>
      <x:c r="E16" s="9" t="n">
        <x:f>'Broad Screen'!$N$12</x:f>
        <x:v>3</x:v>
      </x:c>
      <x:c r="F16" s="9" t="n">
        <x:f>'Broad Screen'!$I$12</x:f>
        <x:v>4</x:v>
      </x:c>
      <x:c r="G16" s="9" t="n">
        <x:f>'Broad Screen'!$Y$12</x:f>
        <x:v>3</x:v>
      </x:c>
      <x:c r="H16" s="9" t="n">
        <x:f>'Broad Screen'!$AI$12</x:f>
        <x:v>4</x:v>
      </x:c>
      <x:c r="I16" s="9" t="n">
        <x:f>'Broad Screen'!$AG$12</x:f>
        <x:v>3</x:v>
      </x:c>
      <x:c r="J16" s="9" t="n">
        <x:f>'Broad Screen'!$W$12</x:f>
        <x:v>1.5</x:v>
      </x:c>
      <x:c r="K16" s="9" t="n">
        <x:f>'Broad Screen'!$AE$12</x:f>
        <x:v>5</x:v>
      </x:c>
      <x:c r="L16" s="13" t="n">
        <x:f>'Broad Screen'!$AM$12</x:f>
        <x:v>51</x:v>
      </x:c>
      <x:c r="M16" s="9" t="n">
        <x:f>'Broad Screen'!$AO$12</x:f>
        <x:v>0</x:v>
      </x:c>
      <x:c r="N16" s="14" t="n">
        <x:f>'Broad Screen'!$AP$12</x:f>
        <x:v>2.142857142857143</x:v>
      </x:c>
      <x:c r="O16" s="9" t="n">
        <x:f>'Broad Screen'!$AR$12</x:f>
        <x:v>0</x:v>
      </x:c>
      <x:c r="P16" s="9" t="str">
        <x:v>Proposed</x:v>
      </x:c>
      <x:c r="Q16" s="9" t="str">
        <x:v>Rent</x:v>
      </x:c>
    </x:row>
    <x:row r="17">
      <x:c r="A17" s="9" t="n">
        <x:v>16</x:v>
      </x:c>
      <x:c r="B17" s="9" t="str">
        <x:v>Loughborough</x:v>
      </x:c>
      <x:c r="C17" s="13" t="n">
        <x:f>'Broad Screen'!$AK$30</x:f>
        <x:v>65.5</x:v>
      </x:c>
      <x:c r="D17" s="10" t="n">
        <x:f>'Broad Screen'!$K$30</x:f>
        <x:v>132000</x:v>
      </x:c>
      <x:c r="E17" s="9" t="n">
        <x:f>'Broad Screen'!$N$30</x:f>
        <x:v>3</x:v>
      </x:c>
      <x:c r="F17" s="9" t="n">
        <x:f>'Broad Screen'!$I$30</x:f>
        <x:v>5</x:v>
      </x:c>
      <x:c r="G17" s="9" t="n">
        <x:f>'Broad Screen'!$Y$30</x:f>
        <x:v>3</x:v>
      </x:c>
      <x:c r="H17" s="9" t="n">
        <x:f>'Broad Screen'!$AI$30</x:f>
        <x:v>3</x:v>
      </x:c>
      <x:c r="I17" s="9" t="n">
        <x:f>'Broad Screen'!$AG$30</x:f>
        <x:v>3</x:v>
      </x:c>
      <x:c r="J17" s="9" t="n">
        <x:f>'Broad Screen'!$W$30</x:f>
        <x:v>1.5</x:v>
      </x:c>
      <x:c r="K17" s="9" t="n">
        <x:f>'Broad Screen'!$AE$30</x:f>
        <x:v>5</x:v>
      </x:c>
      <x:c r="L17" s="13" t="n">
        <x:f>'Broad Screen'!$AM$30</x:f>
        <x:v>51</x:v>
      </x:c>
      <x:c r="M17" s="9" t="n">
        <x:f>'Broad Screen'!$AO$30</x:f>
        <x:v>0</x:v>
      </x:c>
      <x:c r="N17" s="14" t="n">
        <x:f>'Broad Screen'!$AP$30</x:f>
        <x:v>2</x:v>
      </x:c>
      <x:c r="O17" s="9" t="n">
        <x:f>'Broad Screen'!$AR$30</x:f>
        <x:v>0</x:v>
      </x:c>
      <x:c r="P17" s="9" t="str">
        <x:v>Not proposed</x:v>
      </x:c>
      <x:c r="Q17" s="9" t="str"/>
    </x:row>
    <x:row r="18">
      <x:c r="A18" s="9" t="n">
        <x:v>17</x:v>
      </x:c>
      <x:c r="B18" s="9" t="str">
        <x:v>Doncaster</x:v>
      </x:c>
      <x:c r="C18" s="13" t="n">
        <x:f>'Broad Screen'!$AK$16</x:f>
        <x:v>65.5</x:v>
      </x:c>
      <x:c r="D18" s="10" t="n">
        <x:f>'Broad Screen'!$K$16</x:f>
        <x:v>108000</x:v>
      </x:c>
      <x:c r="E18" s="9" t="n">
        <x:f>'Broad Screen'!$N$16</x:f>
        <x:v>5</x:v>
      </x:c>
      <x:c r="F18" s="9" t="n">
        <x:f>'Broad Screen'!$I$16</x:f>
        <x:v>3</x:v>
      </x:c>
      <x:c r="G18" s="9" t="n">
        <x:f>'Broad Screen'!$Y$16</x:f>
        <x:v>4</x:v>
      </x:c>
      <x:c r="H18" s="9" t="n">
        <x:f>'Broad Screen'!$AI$16</x:f>
        <x:v>2</x:v>
      </x:c>
      <x:c r="I18" s="9" t="n">
        <x:f>'Broad Screen'!$AG$16</x:f>
        <x:v>2</x:v>
      </x:c>
      <x:c r="J18" s="9" t="n">
        <x:f>'Broad Screen'!$W$16</x:f>
        <x:v>2.5</x:v>
      </x:c>
      <x:c r="K18" s="9" t="n">
        <x:f>'Broad Screen'!$AE$16</x:f>
        <x:v>5</x:v>
      </x:c>
      <x:c r="L18" s="13" t="n">
        <x:f>'Broad Screen'!$AM$16</x:f>
        <x:v>48</x:v>
      </x:c>
      <x:c r="M18" s="9" t="n">
        <x:f>'Broad Screen'!$AO$16</x:f>
        <x:v>0</x:v>
      </x:c>
      <x:c r="N18" s="14" t="n">
        <x:f>'Broad Screen'!$AP$16</x:f>
        <x:v>2.142857142857143</x:v>
      </x:c>
      <x:c r="O18" s="9" t="n">
        <x:f>'Broad Screen'!$AR$16</x:f>
        <x:v>0</x:v>
      </x:c>
      <x:c r="P18" s="9" t="str">
        <x:v>Not proposed</x:v>
      </x:c>
      <x:c r="Q18" s="9" t="str"/>
    </x:row>
    <x:row r="19">
      <x:c r="A19" s="9" t="n">
        <x:v>18</x:v>
      </x:c>
      <x:c r="B19" s="9" t="str">
        <x:v>Gloucester</x:v>
      </x:c>
      <x:c r="C19" s="13" t="n">
        <x:f>'Broad Screen'!$AK$18</x:f>
        <x:v>65.5</x:v>
      </x:c>
      <x:c r="D19" s="10" t="n">
        <x:f>'Broad Screen'!$K$18</x:f>
        <x:v>145000</x:v>
      </x:c>
      <x:c r="E19" s="9" t="n">
        <x:f>'Broad Screen'!$N$18</x:f>
        <x:v>1</x:v>
      </x:c>
      <x:c r="F19" s="9" t="n">
        <x:f>'Broad Screen'!$I$18</x:f>
        <x:v>4</x:v>
      </x:c>
      <x:c r="G19" s="9" t="n">
        <x:f>'Broad Screen'!$Y$18</x:f>
        <x:v>4</x:v>
      </x:c>
      <x:c r="H19" s="9" t="n">
        <x:f>'Broad Screen'!$AI$18</x:f>
        <x:v>4</x:v>
      </x:c>
      <x:c r="I19" s="9" t="n">
        <x:f>'Broad Screen'!$AG$18</x:f>
        <x:v>3</x:v>
      </x:c>
      <x:c r="J19" s="9" t="n">
        <x:f>'Broad Screen'!$W$18</x:f>
        <x:v>2.5</x:v>
      </x:c>
      <x:c r="K19" s="9" t="n">
        <x:f>'Broad Screen'!$AE$18</x:f>
        <x:v>5</x:v>
      </x:c>
      <x:c r="L19" s="13" t="n">
        <x:f>'Broad Screen'!$AM$18</x:f>
        <x:v>48</x:v>
      </x:c>
      <x:c r="M19" s="9" t="n">
        <x:f>'Broad Screen'!$AO$18</x:f>
        <x:v>0</x:v>
      </x:c>
      <x:c r="N19" s="14" t="n">
        <x:f>'Broad Screen'!$AP$18</x:f>
        <x:v>2.142857142857143</x:v>
      </x:c>
      <x:c r="O19" s="9" t="n">
        <x:f>'Broad Screen'!$AR$18</x:f>
        <x:v>0</x:v>
      </x:c>
      <x:c r="P19" s="9" t="str">
        <x:v>Not proposed</x:v>
      </x:c>
      <x:c r="Q19" s="9" t="str"/>
    </x:row>
    <x:row r="20">
      <x:c r="A20" s="9" t="n">
        <x:v>19</x:v>
      </x:c>
      <x:c r="B20" s="9" t="str">
        <x:v>Stoke-on-Trent</x:v>
      </x:c>
      <x:c r="C20" s="13" t="n">
        <x:f>'Broad Screen'!$AK$52</x:f>
        <x:v>65.5</x:v>
      </x:c>
      <x:c r="D20" s="10" t="n">
        <x:f>'Broad Screen'!$K$52</x:f>
        <x:v>85000</x:v>
      </x:c>
      <x:c r="E20" s="9" t="n">
        <x:f>'Broad Screen'!$N$52</x:f>
        <x:v>5</x:v>
      </x:c>
      <x:c r="F20" s="9" t="n">
        <x:f>'Broad Screen'!$I$52</x:f>
        <x:v>3</x:v>
      </x:c>
      <x:c r="G20" s="9" t="n">
        <x:f>'Broad Screen'!$Y$52</x:f>
        <x:v>4</x:v>
      </x:c>
      <x:c r="H20" s="9" t="n">
        <x:f>'Broad Screen'!$AI$52</x:f>
        <x:v>2</x:v>
      </x:c>
      <x:c r="I20" s="9" t="n">
        <x:f>'Broad Screen'!$AG$52</x:f>
        <x:v>2</x:v>
      </x:c>
      <x:c r="J20" s="9" t="n">
        <x:f>'Broad Screen'!$W$52</x:f>
        <x:v>2.5</x:v>
      </x:c>
      <x:c r="K20" s="9" t="n">
        <x:f>'Broad Screen'!$AE$52</x:f>
        <x:v>5</x:v>
      </x:c>
      <x:c r="L20" s="13" t="n">
        <x:f>'Broad Screen'!$AM$52</x:f>
        <x:v>48</x:v>
      </x:c>
      <x:c r="M20" s="9" t="n">
        <x:f>'Broad Screen'!$AO$52</x:f>
        <x:v>0</x:v>
      </x:c>
      <x:c r="N20" s="14" t="n">
        <x:f>'Broad Screen'!$AP$52</x:f>
        <x:v>2</x:v>
      </x:c>
      <x:c r="O20" s="9" t="n">
        <x:f>'Broad Screen'!$AR$52</x:f>
        <x:v>0</x:v>
      </x:c>
      <x:c r="P20" s="9" t="str">
        <x:v>Not proposed</x:v>
      </x:c>
      <x:c r="Q20" s="9" t="str"/>
    </x:row>
    <x:row r="21">
      <x:c r="A21" s="9" t="n">
        <x:v>20</x:v>
      </x:c>
      <x:c r="B21" s="9" t="str">
        <x:v>Warrington</x:v>
      </x:c>
      <x:c r="C21" s="13" t="n">
        <x:f>'Broad Screen'!$AK$60</x:f>
        <x:v>65.5</x:v>
      </x:c>
      <x:c r="D21" s="10" t="n">
        <x:f>'Broad Screen'!$K$60</x:f>
        <x:v>123250</x:v>
      </x:c>
      <x:c r="E21" s="9" t="n">
        <x:f>'Broad Screen'!$N$60</x:f>
        <x:v>3</x:v>
      </x:c>
      <x:c r="F21" s="9" t="n">
        <x:f>'Broad Screen'!$I$60</x:f>
        <x:v>4</x:v>
      </x:c>
      <x:c r="G21" s="9" t="n">
        <x:f>'Broad Screen'!$Y$60</x:f>
        <x:v>4</x:v>
      </x:c>
      <x:c r="H21" s="9" t="n">
        <x:f>'Broad Screen'!$AI$60</x:f>
        <x:v>3</x:v>
      </x:c>
      <x:c r="I21" s="9" t="n">
        <x:f>'Broad Screen'!$AG$60</x:f>
        <x:v>2</x:v>
      </x:c>
      <x:c r="J21" s="9" t="n">
        <x:f>'Broad Screen'!$W$60</x:f>
        <x:v>2.5</x:v>
      </x:c>
      <x:c r="K21" s="9" t="n">
        <x:f>'Broad Screen'!$AE$60</x:f>
        <x:v>5</x:v>
      </x:c>
      <x:c r="L21" s="13" t="n">
        <x:f>'Broad Screen'!$AM$60</x:f>
        <x:v>48</x:v>
      </x:c>
      <x:c r="M21" s="9" t="n">
        <x:f>'Broad Screen'!$AO$60</x:f>
        <x:v>0</x:v>
      </x:c>
      <x:c r="N21" s="14" t="n">
        <x:f>'Broad Screen'!$AP$60</x:f>
        <x:v>2</x:v>
      </x:c>
      <x:c r="O21" s="9" t="n">
        <x:f>'Broad Screen'!$AR$60</x:f>
        <x:v>0</x:v>
      </x:c>
      <x:c r="P21" s="9" t="str">
        <x:v>Not proposed</x:v>
      </x:c>
      <x:c r="Q21" s="9" t="str"/>
    </x:row>
    <x:row r="22">
      <x:c r="A22" s="9" t="n">
        <x:v>21</x:v>
      </x:c>
      <x:c r="B22" s="9" t="str">
        <x:v>Coventry</x:v>
      </x:c>
      <x:c r="C22" s="13" t="n">
        <x:f>'Broad Screen'!$AK$13</x:f>
        <x:v>65.5</x:v>
      </x:c>
      <x:c r="D22" s="10" t="n">
        <x:f>'Broad Screen'!$K$13</x:f>
        <x:v>135000</x:v>
      </x:c>
      <x:c r="E22" s="9" t="n">
        <x:f>'Broad Screen'!$N$13</x:f>
        <x:v>3</x:v>
      </x:c>
      <x:c r="F22" s="9" t="n">
        <x:f>'Broad Screen'!$I$13</x:f>
        <x:v>3</x:v>
      </x:c>
      <x:c r="G22" s="9" t="n">
        <x:f>'Broad Screen'!$Y$13</x:f>
        <x:v>4</x:v>
      </x:c>
      <x:c r="H22" s="9" t="n">
        <x:f>'Broad Screen'!$AI$13</x:f>
        <x:v>3</x:v>
      </x:c>
      <x:c r="I22" s="9" t="n">
        <x:f>'Broad Screen'!$AG$13</x:f>
        <x:v>2</x:v>
      </x:c>
      <x:c r="J22" s="9" t="n">
        <x:f>'Broad Screen'!$W$13</x:f>
        <x:v>3.5</x:v>
      </x:c>
      <x:c r="K22" s="9" t="n">
        <x:f>'Broad Screen'!$AE$13</x:f>
        <x:v>5</x:v>
      </x:c>
      <x:c r="L22" s="13" t="n">
        <x:f>'Broad Screen'!$AM$13</x:f>
        <x:v>45</x:v>
      </x:c>
      <x:c r="M22" s="9" t="n">
        <x:f>'Broad Screen'!$AO$13</x:f>
        <x:v>0</x:v>
      </x:c>
      <x:c r="N22" s="14" t="n">
        <x:f>'Broad Screen'!$AP$13</x:f>
        <x:v>2.142857142857143</x:v>
      </x:c>
      <x:c r="O22" s="9" t="n">
        <x:f>'Broad Screen'!$AR$13</x:f>
        <x:v>0</x:v>
      </x:c>
      <x:c r="P22" s="9" t="str">
        <x:v>Not proposed</x:v>
      </x:c>
      <x:c r="Q22" s="9" t="str"/>
    </x:row>
    <x:row r="23">
      <x:c r="A23" s="9" t="n">
        <x:v>22</x:v>
      </x:c>
      <x:c r="B23" s="9" t="str">
        <x:v>Darlington</x:v>
      </x:c>
      <x:c r="C23" s="13" t="n">
        <x:f>'Broad Screen'!$AK$14</x:f>
        <x:v>64.5</x:v>
      </x:c>
      <x:c r="D23" s="10" t="n">
        <x:f>'Broad Screen'!$K$14</x:f>
        <x:v>95000</x:v>
      </x:c>
      <x:c r="E23" s="9" t="n">
        <x:f>'Broad Screen'!$N$14</x:f>
        <x:v>5</x:v>
      </x:c>
      <x:c r="F23" s="9" t="n">
        <x:f>'Broad Screen'!$I$14</x:f>
        <x:v>3</x:v>
      </x:c>
      <x:c r="G23" s="9" t="n">
        <x:f>'Broad Screen'!$Y$14</x:f>
        <x:v>4</x:v>
      </x:c>
      <x:c r="H23" s="9" t="n">
        <x:f>'Broad Screen'!$AI$14</x:f>
        <x:v>3</x:v>
      </x:c>
      <x:c r="I23" s="9" t="n">
        <x:f>'Broad Screen'!$AG$14</x:f>
        <x:v>3</x:v>
      </x:c>
      <x:c r="J23" s="9" t="n">
        <x:f>'Broad Screen'!$W$14</x:f>
        <x:v>1.5</x:v>
      </x:c>
      <x:c r="K23" s="9" t="n">
        <x:f>'Broad Screen'!$AE$14</x:f>
        <x:v>3</x:v>
      </x:c>
      <x:c r="L23" s="13" t="n">
        <x:f>'Broad Screen'!$AM$14</x:f>
        <x:v>54</x:v>
      </x:c>
      <x:c r="M23" s="9" t="n">
        <x:f>'Broad Screen'!$AO$14</x:f>
        <x:v>0</x:v>
      </x:c>
      <x:c r="N23" s="14" t="n">
        <x:f>'Broad Screen'!$AP$14</x:f>
        <x:v>2</x:v>
      </x:c>
      <x:c r="O23" s="9" t="n">
        <x:f>'Broad Screen'!$AR$14</x:f>
        <x:v>0</x:v>
      </x:c>
      <x:c r="P23" s="9" t="str">
        <x:v>Not proposed</x:v>
      </x:c>
      <x:c r="Q23" s="9" t="str"/>
    </x:row>
    <x:row r="24">
      <x:c r="A24" s="9" t="n">
        <x:v>23</x:v>
      </x:c>
      <x:c r="B24" s="9" t="str">
        <x:v>Swansea</x:v>
      </x:c>
      <x:c r="C24" s="13" t="n">
        <x:f>'Broad Screen'!$AK$54</x:f>
        <x:v>64.5</x:v>
      </x:c>
      <x:c r="D24" s="10" t="n">
        <x:f>'Broad Screen'!$K$54</x:f>
        <x:v>130000</x:v>
      </x:c>
      <x:c r="E24" s="9" t="n">
        <x:f>'Broad Screen'!$N$54</x:f>
        <x:v>3</x:v>
      </x:c>
      <x:c r="F24" s="9" t="n">
        <x:f>'Broad Screen'!$I$54</x:f>
        <x:v>3</x:v>
      </x:c>
      <x:c r="G24" s="9" t="n">
        <x:f>'Broad Screen'!$Y$54</x:f>
        <x:v>4</x:v>
      </x:c>
      <x:c r="H24" s="9" t="n">
        <x:f>'Broad Screen'!$AI$54</x:f>
        <x:v>4</x:v>
      </x:c>
      <x:c r="I24" s="9" t="n">
        <x:f>'Broad Screen'!$AG$54</x:f>
        <x:v>3</x:v>
      </x:c>
      <x:c r="J24" s="9" t="n">
        <x:f>'Broad Screen'!$W$54</x:f>
        <x:v>2.5</x:v>
      </x:c>
      <x:c r="K24" s="9" t="n">
        <x:f>'Broad Screen'!$AE$54</x:f>
        <x:v>3</x:v>
      </x:c>
      <x:c r="L24" s="13" t="n">
        <x:f>'Broad Screen'!$AM$54</x:f>
        <x:v>51</x:v>
      </x:c>
      <x:c r="M24" s="9" t="n">
        <x:f>'Broad Screen'!$AO$54</x:f>
        <x:v>0</x:v>
      </x:c>
      <x:c r="N24" s="14" t="n">
        <x:f>'Broad Screen'!$AP$54</x:f>
        <x:v>2.2857142857142856</x:v>
      </x:c>
      <x:c r="O24" s="9" t="n">
        <x:f>'Broad Screen'!$AR$54</x:f>
        <x:v>0</x:v>
      </x:c>
      <x:c r="P24" s="9" t="str">
        <x:v>Not proposed</x:v>
      </x:c>
      <x:c r="Q24" s="9" t="str"/>
    </x:row>
    <x:row r="25">
      <x:c r="A25" s="9" t="n">
        <x:v>24</x:v>
      </x:c>
      <x:c r="B25" s="9" t="str">
        <x:v>Halifax</x:v>
      </x:c>
      <x:c r="C25" s="13" t="n">
        <x:f>'Broad Screen'!$AK$19</x:f>
        <x:v>64.5</x:v>
      </x:c>
      <x:c r="D25" s="10" t="n">
        <x:f>'Broad Screen'!$K$19</x:f>
        <x:v>127500</x:v>
      </x:c>
      <x:c r="E25" s="9" t="n">
        <x:f>'Broad Screen'!$N$19</x:f>
        <x:v>3</x:v>
      </x:c>
      <x:c r="F25" s="9" t="n">
        <x:f>'Broad Screen'!$I$19</x:f>
        <x:v>4</x:v>
      </x:c>
      <x:c r="G25" s="9" t="n">
        <x:f>'Broad Screen'!$Y$19</x:f>
        <x:v>4</x:v>
      </x:c>
      <x:c r="H25" s="9" t="n">
        <x:f>'Broad Screen'!$AI$19</x:f>
        <x:v>3</x:v>
      </x:c>
      <x:c r="I25" s="9" t="n">
        <x:f>'Broad Screen'!$AG$19</x:f>
        <x:v>3</x:v>
      </x:c>
      <x:c r="J25" s="9" t="n">
        <x:f>'Broad Screen'!$W$19</x:f>
        <x:v>2.5</x:v>
      </x:c>
      <x:c r="K25" s="9" t="n">
        <x:f>'Broad Screen'!$AE$19</x:f>
        <x:v>3</x:v>
      </x:c>
      <x:c r="L25" s="13" t="n">
        <x:f>'Broad Screen'!$AM$19</x:f>
        <x:v>51</x:v>
      </x:c>
      <x:c r="M25" s="9" t="n">
        <x:f>'Broad Screen'!$AO$19</x:f>
        <x:v>0</x:v>
      </x:c>
      <x:c r="N25" s="14" t="n">
        <x:f>'Broad Screen'!$AP$19</x:f>
        <x:v>2.142857142857143</x:v>
      </x:c>
      <x:c r="O25" s="9" t="n">
        <x:f>'Broad Screen'!$AR$19</x:f>
        <x:v>0</x:v>
      </x:c>
      <x:c r="P25" s="9" t="str">
        <x:v>Proposed</x:v>
      </x:c>
      <x:c r="Q25" s="9" t="str">
        <x:v>Rent</x:v>
      </x:c>
    </x:row>
    <x:row r="26">
      <x:c r="A26" s="9" t="n">
        <x:v>25</x:v>
      </x:c>
      <x:c r="B26" s="9" t="str">
        <x:v>Gateshead</x:v>
      </x:c>
      <x:c r="C26" s="13" t="n">
        <x:f>'Broad Screen'!$AK$17</x:f>
        <x:v>64.5</x:v>
      </x:c>
      <x:c r="D26" s="10" t="n">
        <x:f>'Broad Screen'!$K$17</x:f>
        <x:v>101000</x:v>
      </x:c>
      <x:c r="E26" s="9" t="n">
        <x:f>'Broad Screen'!$N$17</x:f>
        <x:v>5</x:v>
      </x:c>
      <x:c r="F26" s="9" t="n">
        <x:f>'Broad Screen'!$I$17</x:f>
        <x:v>2</x:v>
      </x:c>
      <x:c r="G26" s="9" t="n">
        <x:f>'Broad Screen'!$Y$17</x:f>
        <x:v>5</x:v>
      </x:c>
      <x:c r="H26" s="9" t="n">
        <x:f>'Broad Screen'!$AI$17</x:f>
        <x:v>3</x:v>
      </x:c>
      <x:c r="I26" s="9" t="n">
        <x:f>'Broad Screen'!$AG$17</x:f>
        <x:v>2</x:v>
      </x:c>
      <x:c r="J26" s="9" t="n">
        <x:f>'Broad Screen'!$W$17</x:f>
        <x:v>2.5</x:v>
      </x:c>
      <x:c r="K26" s="9" t="n">
        <x:f>'Broad Screen'!$AE$17</x:f>
        <x:v>3</x:v>
      </x:c>
      <x:c r="L26" s="13" t="n">
        <x:f>'Broad Screen'!$AM$17</x:f>
        <x:v>51</x:v>
      </x:c>
      <x:c r="M26" s="9" t="n">
        <x:f>'Broad Screen'!$AO$17</x:f>
        <x:v>0</x:v>
      </x:c>
      <x:c r="N26" s="14" t="n">
        <x:f>'Broad Screen'!$AP$17</x:f>
        <x:v>2</x:v>
      </x:c>
      <x:c r="O26" s="9" t="n">
        <x:f>'Broad Screen'!$AR$17</x:f>
        <x:v>0</x:v>
      </x:c>
      <x:c r="P26" s="9" t="str">
        <x:v>Not proposed</x:v>
      </x:c>
      <x:c r="Q26" s="9" t="str"/>
    </x:row>
    <x:row r="27">
      <x:c r="A27" s="9" t="n">
        <x:v>26</x:v>
      </x:c>
      <x:c r="B27" s="9" t="str">
        <x:v>Salford</x:v>
      </x:c>
      <x:c r="C27" s="13" t="n">
        <x:f>'Broad Screen'!$AK$45</x:f>
        <x:v>64.11764705882354</x:v>
      </x:c>
      <x:c r="D27" s="10" t="n">
        <x:f>'Broad Screen'!$K$45</x:f>
        <x:v>190000</x:v>
      </x:c>
      <x:c r="E27" s="9" t="n">
        <x:f>'Broad Screen'!$N$45</x:f>
        <x:v>1</x:v>
      </x:c>
      <x:c r="F27" s="9" t="n">
        <x:f>'Broad Screen'!$I$45</x:f>
        <x:v>0</x:v>
      </x:c>
      <x:c r="G27" s="9" t="n">
        <x:f>'Broad Screen'!$Y$45</x:f>
        <x:v>5</x:v>
      </x:c>
      <x:c r="H27" s="9" t="n">
        <x:f>'Broad Screen'!$AI$45</x:f>
        <x:v>3</x:v>
      </x:c>
      <x:c r="I27" s="9" t="n">
        <x:f>'Broad Screen'!$AG$45</x:f>
        <x:v>2</x:v>
      </x:c>
      <x:c r="J27" s="9" t="n">
        <x:f>'Broad Screen'!$W$45</x:f>
        <x:v>4.5</x:v>
      </x:c>
      <x:c r="K27" s="9" t="n">
        <x:f>'Broad Screen'!$AE$45</x:f>
        <x:v>4</x:v>
      </x:c>
      <x:c r="L27" s="13" t="n">
        <x:f>'Broad Screen'!$AM$45</x:f>
        <x:v>41.25</x:v>
      </x:c>
      <x:c r="M27" s="9" t="n">
        <x:f>'Broad Screen'!$AO$45</x:f>
        <x:v>0</x:v>
      </x:c>
      <x:c r="N27" s="14" t="n">
        <x:f>'Broad Screen'!$AP$45</x:f>
        <x:v>1.8571428571428572</x:v>
      </x:c>
      <x:c r="O27" s="9" t="n">
        <x:f>'Broad Screen'!$AR$45</x:f>
        <x:v>1</x:v>
      </x:c>
      <x:c r="P27" s="9" t="str">
        <x:v>Not proposed</x:v>
      </x:c>
      <x:c r="Q27" s="9" t="str"/>
    </x:row>
    <x:row r="28">
      <x:c r="A28" s="9" t="n">
        <x:v>27</x:v>
      </x:c>
      <x:c r="B28" s="9" t="str">
        <x:v>Wakefield</x:v>
      </x:c>
      <x:c r="C28" s="13" t="n">
        <x:f>'Broad Screen'!$AK$58</x:f>
        <x:v>63.5</x:v>
      </x:c>
      <x:c r="D28" s="10" t="n">
        <x:f>'Broad Screen'!$K$58</x:f>
        <x:v>116000</x:v>
      </x:c>
      <x:c r="E28" s="9" t="n">
        <x:f>'Broad Screen'!$N$58</x:f>
        <x:v>3</x:v>
      </x:c>
      <x:c r="F28" s="9" t="n">
        <x:f>'Broad Screen'!$I$58</x:f>
        <x:v>4</x:v>
      </x:c>
      <x:c r="G28" s="9" t="n">
        <x:f>'Broad Screen'!$Y$58</x:f>
        <x:v>4</x:v>
      </x:c>
      <x:c r="H28" s="9" t="n">
        <x:f>'Broad Screen'!$AI$58</x:f>
        <x:v>3</x:v>
      </x:c>
      <x:c r="I28" s="9" t="n">
        <x:f>'Broad Screen'!$AG$58</x:f>
        <x:v>2</x:v>
      </x:c>
      <x:c r="J28" s="9" t="n">
        <x:f>'Broad Screen'!$W$58</x:f>
        <x:v>2.5</x:v>
      </x:c>
      <x:c r="K28" s="9" t="n">
        <x:f>'Broad Screen'!$AE$58</x:f>
        <x:v>4</x:v>
      </x:c>
      <x:c r="L28" s="13" t="n">
        <x:f>'Broad Screen'!$AM$58</x:f>
        <x:v>48</x:v>
      </x:c>
      <x:c r="M28" s="9" t="n">
        <x:f>'Broad Screen'!$AO$58</x:f>
        <x:v>0</x:v>
      </x:c>
      <x:c r="N28" s="14" t="n">
        <x:f>'Broad Screen'!$AP$58</x:f>
        <x:v>2.142857142857143</x:v>
      </x:c>
      <x:c r="O28" s="9" t="n">
        <x:f>'Broad Screen'!$AR$58</x:f>
        <x:v>0</x:v>
      </x:c>
      <x:c r="P28" s="9" t="str">
        <x:v>Proposed</x:v>
      </x:c>
      <x:c r="Q28" s="9" t="str">
        <x:v>Rent</x:v>
      </x:c>
    </x:row>
    <x:row r="29">
      <x:c r="A29" s="9" t="n">
        <x:v>28</x:v>
      </x:c>
      <x:c r="B29" s="9" t="str">
        <x:v>Preston</x:v>
      </x:c>
      <x:c r="C29" s="13" t="n">
        <x:f>'Broad Screen'!$AK$43</x:f>
        <x:v>63.5</x:v>
      </x:c>
      <x:c r="D29" s="10" t="n">
        <x:f>'Broad Screen'!$K$43</x:f>
        <x:v>104625</x:v>
      </x:c>
      <x:c r="E29" s="9" t="n">
        <x:f>'Broad Screen'!$N$43</x:f>
        <x:v>5</x:v>
      </x:c>
      <x:c r="F29" s="9" t="n">
        <x:f>'Broad Screen'!$I$43</x:f>
        <x:v>2</x:v>
      </x:c>
      <x:c r="G29" s="9" t="n">
        <x:f>'Broad Screen'!$Y$43</x:f>
        <x:v>4</x:v>
      </x:c>
      <x:c r="H29" s="9" t="n">
        <x:f>'Broad Screen'!$AI$43</x:f>
        <x:v>3</x:v>
      </x:c>
      <x:c r="I29" s="9" t="n">
        <x:f>'Broad Screen'!$AG$43</x:f>
        <x:v>2</x:v>
      </x:c>
      <x:c r="J29" s="9" t="n">
        <x:f>'Broad Screen'!$W$43</x:f>
        <x:v>2.5</x:v>
      </x:c>
      <x:c r="K29" s="9" t="n">
        <x:f>'Broad Screen'!$AE$43</x:f>
        <x:v>4</x:v>
      </x:c>
      <x:c r="L29" s="13" t="n">
        <x:f>'Broad Screen'!$AM$43</x:f>
        <x:v>48</x:v>
      </x:c>
      <x:c r="M29" s="9" t="n">
        <x:f>'Broad Screen'!$AO$43</x:f>
        <x:v>0</x:v>
      </x:c>
      <x:c r="N29" s="14" t="n">
        <x:f>'Broad Screen'!$AP$43</x:f>
        <x:v>2</x:v>
      </x:c>
      <x:c r="O29" s="9" t="n">
        <x:f>'Broad Screen'!$AR$43</x:f>
        <x:v>0</x:v>
      </x:c>
      <x:c r="P29" s="9" t="str">
        <x:v>Not proposed</x:v>
      </x:c>
      <x:c r="Q29" s="9" t="str"/>
    </x:row>
    <x:row r="30">
      <x:c r="A30" s="9" t="n">
        <x:v>29</x:v>
      </x:c>
      <x:c r="B30" s="9" t="str">
        <x:v>Ipswich</x:v>
      </x:c>
      <x:c r="C30" s="13" t="n">
        <x:f>'Broad Screen'!$AK$23</x:f>
        <x:v>63.5</x:v>
      </x:c>
      <x:c r="D30" s="10" t="n">
        <x:f>'Broad Screen'!$K$23</x:f>
        <x:v>137000</x:v>
      </x:c>
      <x:c r="E30" s="9" t="n">
        <x:f>'Broad Screen'!$N$23</x:f>
        <x:v>1</x:v>
      </x:c>
      <x:c r="F30" s="9" t="n">
        <x:f>'Broad Screen'!$I$23</x:f>
        <x:v>4</x:v>
      </x:c>
      <x:c r="G30" s="9" t="n">
        <x:f>'Broad Screen'!$Y$23</x:f>
        <x:v>4</x:v>
      </x:c>
      <x:c r="H30" s="9" t="n">
        <x:f>'Broad Screen'!$AI$23</x:f>
        <x:v>3</x:v>
      </x:c>
      <x:c r="I30" s="9" t="n">
        <x:f>'Broad Screen'!$AG$23</x:f>
        <x:v>3</x:v>
      </x:c>
      <x:c r="J30" s="9" t="n">
        <x:f>'Broad Screen'!$W$23</x:f>
        <x:v>3.5</x:v>
      </x:c>
      <x:c r="K30" s="9" t="n">
        <x:f>'Broad Screen'!$AE$23</x:f>
        <x:v>4</x:v>
      </x:c>
      <x:c r="L30" s="13" t="n">
        <x:f>'Broad Screen'!$AM$23</x:f>
        <x:v>45</x:v>
      </x:c>
      <x:c r="M30" s="9" t="n">
        <x:f>'Broad Screen'!$AO$23</x:f>
        <x:v>0</x:v>
      </x:c>
      <x:c r="N30" s="14" t="n">
        <x:f>'Broad Screen'!$AP$23</x:f>
        <x:v>2</x:v>
      </x:c>
      <x:c r="O30" s="9" t="n">
        <x:f>'Broad Screen'!$AR$23</x:f>
        <x:v>0</x:v>
      </x:c>
      <x:c r="P30" s="9" t="str">
        <x:v>Not proposed</x:v>
      </x:c>
      <x:c r="Q30" s="9" t="str"/>
    </x:row>
    <x:row r="31">
      <x:c r="A31" s="9" t="n">
        <x:v>30</x:v>
      </x:c>
      <x:c r="B31" s="9" t="str">
        <x:v>Cardiff</x:v>
      </x:c>
      <x:c r="C31" s="13" t="n">
        <x:f>'Broad Screen'!$AK$10</x:f>
        <x:v>63.5</x:v>
      </x:c>
      <x:c r="D31" s="10" t="n">
        <x:f>'Broad Screen'!$K$10</x:f>
        <x:v>165000</x:v>
      </x:c>
      <x:c r="E31" s="9" t="n">
        <x:f>'Broad Screen'!$N$10</x:f>
        <x:v>1</x:v>
      </x:c>
      <x:c r="F31" s="9" t="n">
        <x:f>'Broad Screen'!$I$10</x:f>
        <x:v>2</x:v>
      </x:c>
      <x:c r="G31" s="9" t="n">
        <x:f>'Broad Screen'!$Y$10</x:f>
        <x:v>5</x:v>
      </x:c>
      <x:c r="H31" s="9" t="n">
        <x:f>'Broad Screen'!$AI$10</x:f>
        <x:v>4</x:v>
      </x:c>
      <x:c r="I31" s="9" t="n">
        <x:f>'Broad Screen'!$AG$10</x:f>
        <x:v>2</x:v>
      </x:c>
      <x:c r="J31" s="9" t="n">
        <x:f>'Broad Screen'!$W$10</x:f>
        <x:v>4.5</x:v>
      </x:c>
      <x:c r="K31" s="9" t="n">
        <x:f>'Broad Screen'!$AE$10</x:f>
        <x:v>4</x:v>
      </x:c>
      <x:c r="L31" s="13" t="n">
        <x:f>'Broad Screen'!$AM$10</x:f>
        <x:v>42</x:v>
      </x:c>
      <x:c r="M31" s="9" t="n">
        <x:f>'Broad Screen'!$AO$10</x:f>
        <x:v>0</x:v>
      </x:c>
      <x:c r="N31" s="14" t="n">
        <x:f>'Broad Screen'!$AP$10</x:f>
        <x:v>2.2857142857142856</x:v>
      </x:c>
      <x:c r="O31" s="9" t="n">
        <x:f>'Broad Screen'!$AR$10</x:f>
        <x:v>0</x:v>
      </x:c>
      <x:c r="P31" s="9" t="str">
        <x:v>Not proposed</x:v>
      </x:c>
      <x:c r="Q31" s="9" t="str"/>
    </x:row>
    <x:row r="32">
      <x:c r="A32" s="9" t="n">
        <x:v>31</x:v>
      </x:c>
      <x:c r="B32" s="9" t="str">
        <x:v>Leeds</x:v>
      </x:c>
      <x:c r="C32" s="13" t="n">
        <x:f>'Broad Screen'!$AK$26</x:f>
        <x:v>63.5</x:v>
      </x:c>
      <x:c r="D32" s="10" t="n">
        <x:f>'Broad Screen'!$K$26</x:f>
        <x:v>155000</x:v>
      </x:c>
      <x:c r="E32" s="9" t="n">
        <x:f>'Broad Screen'!$N$26</x:f>
        <x:v>1</x:v>
      </x:c>
      <x:c r="F32" s="9" t="n">
        <x:f>'Broad Screen'!$I$26</x:f>
        <x:v>2</x:v>
      </x:c>
      <x:c r="G32" s="9" t="n">
        <x:f>'Broad Screen'!$Y$26</x:f>
        <x:v>5</x:v>
      </x:c>
      <x:c r="H32" s="9" t="n">
        <x:f>'Broad Screen'!$AI$26</x:f>
        <x:v>4</x:v>
      </x:c>
      <x:c r="I32" s="9" t="n">
        <x:f>'Broad Screen'!$AG$26</x:f>
        <x:v>2</x:v>
      </x:c>
      <x:c r="J32" s="9" t="n">
        <x:f>'Broad Screen'!$W$26</x:f>
        <x:v>4.5</x:v>
      </x:c>
      <x:c r="K32" s="9" t="n">
        <x:f>'Broad Screen'!$AE$26</x:f>
        <x:v>4</x:v>
      </x:c>
      <x:c r="L32" s="13" t="n">
        <x:f>'Broad Screen'!$AM$26</x:f>
        <x:v>42</x:v>
      </x:c>
      <x:c r="M32" s="9" t="n">
        <x:f>'Broad Screen'!$AO$26</x:f>
        <x:v>0</x:v>
      </x:c>
      <x:c r="N32" s="14" t="n">
        <x:f>'Broad Screen'!$AP$26</x:f>
        <x:v>2.2857142857142856</x:v>
      </x:c>
      <x:c r="O32" s="9" t="n">
        <x:f>'Broad Screen'!$AR$26</x:f>
        <x:v>0</x:v>
      </x:c>
      <x:c r="P32" s="9" t="str">
        <x:v>Not proposed</x:v>
      </x:c>
      <x:c r="Q32" s="9" t="str"/>
    </x:row>
    <x:row r="33">
      <x:c r="A33" s="9" t="n">
        <x:v>32</x:v>
      </x:c>
      <x:c r="B33" s="9" t="str">
        <x:v>Sheffield</x:v>
      </x:c>
      <x:c r="C33" s="13" t="n">
        <x:f>'Broad Screen'!$AK$46</x:f>
        <x:v>63.5</x:v>
      </x:c>
      <x:c r="D33" s="10" t="n">
        <x:f>'Broad Screen'!$K$46</x:f>
        <x:v>140000</x:v>
      </x:c>
      <x:c r="E33" s="9" t="n">
        <x:f>'Broad Screen'!$N$46</x:f>
        <x:v>1</x:v>
      </x:c>
      <x:c r="F33" s="9" t="n">
        <x:f>'Broad Screen'!$I$46</x:f>
        <x:v>1</x:v>
      </x:c>
      <x:c r="G33" s="9" t="n">
        <x:f>'Broad Screen'!$Y$46</x:f>
        <x:v>5</x:v>
      </x:c>
      <x:c r="H33" s="9" t="n">
        <x:f>'Broad Screen'!$AI$46</x:f>
        <x:v>4</x:v>
      </x:c>
      <x:c r="I33" s="9" t="n">
        <x:f>'Broad Screen'!$AG$46</x:f>
        <x:v>3</x:v>
      </x:c>
      <x:c r="J33" s="9" t="n">
        <x:f>'Broad Screen'!$W$46</x:f>
        <x:v>4.5</x:v>
      </x:c>
      <x:c r="K33" s="9" t="n">
        <x:f>'Broad Screen'!$AE$46</x:f>
        <x:v>4</x:v>
      </x:c>
      <x:c r="L33" s="13" t="n">
        <x:f>'Broad Screen'!$AM$46</x:f>
        <x:v>42</x:v>
      </x:c>
      <x:c r="M33" s="9" t="n">
        <x:f>'Broad Screen'!$AO$46</x:f>
        <x:v>1</x:v>
      </x:c>
      <x:c r="N33" s="14" t="n">
        <x:f>'Broad Screen'!$AP$46</x:f>
        <x:v>2.2857142857142856</x:v>
      </x:c>
      <x:c r="O33" s="9" t="n">
        <x:f>'Broad Screen'!$AR$46</x:f>
        <x:v>0</x:v>
      </x:c>
      <x:c r="P33" s="9" t="str">
        <x:v>Proposed</x:v>
      </x:c>
      <x:c r="Q33" s="9" t="str">
        <x:v>Rent</x:v>
      </x:c>
    </x:row>
    <x:row r="34">
      <x:c r="A34" s="9" t="n">
        <x:v>33</x:v>
      </x:c>
      <x:c r="B34" s="9" t="str">
        <x:v>Sunderland</x:v>
      </x:c>
      <x:c r="C34" s="13" t="n">
        <x:f>'Broad Screen'!$AK$53</x:f>
        <x:v>62.5</x:v>
      </x:c>
      <x:c r="D34" s="10" t="n">
        <x:f>'Broad Screen'!$K$53</x:f>
        <x:v>79000</x:v>
      </x:c>
      <x:c r="E34" s="9" t="n">
        <x:f>'Broad Screen'!$N$53</x:f>
        <x:v>5</x:v>
      </x:c>
      <x:c r="F34" s="9" t="n">
        <x:f>'Broad Screen'!$I$53</x:f>
        <x:v>3</x:v>
      </x:c>
      <x:c r="G34" s="9" t="n">
        <x:f>'Broad Screen'!$Y$53</x:f>
        <x:v>4</x:v>
      </x:c>
      <x:c r="H34" s="9" t="n">
        <x:f>'Broad Screen'!$AI$53</x:f>
        <x:v>3</x:v>
      </x:c>
      <x:c r="I34" s="9" t="n">
        <x:f>'Broad Screen'!$AG$53</x:f>
        <x:v>2</x:v>
      </x:c>
      <x:c r="J34" s="9" t="n">
        <x:f>'Broad Screen'!$W$53</x:f>
        <x:v>2.5</x:v>
      </x:c>
      <x:c r="K34" s="9" t="n">
        <x:f>'Broad Screen'!$AE$53</x:f>
        <x:v>2</x:v>
      </x:c>
      <x:c r="L34" s="13" t="n">
        <x:f>'Broad Screen'!$AM$53</x:f>
        <x:v>51</x:v>
      </x:c>
      <x:c r="M34" s="9" t="n">
        <x:f>'Broad Screen'!$AO$53</x:f>
        <x:v>0</x:v>
      </x:c>
      <x:c r="N34" s="14" t="n">
        <x:f>'Broad Screen'!$AP$53</x:f>
        <x:v>2</x:v>
      </x:c>
      <x:c r="O34" s="9" t="n">
        <x:f>'Broad Screen'!$AR$53</x:f>
        <x:v>0</x:v>
      </x:c>
      <x:c r="P34" s="9" t="str">
        <x:v>Not proposed</x:v>
      </x:c>
      <x:c r="Q34" s="9" t="str"/>
    </x:row>
    <x:row r="35">
      <x:c r="A35" s="9" t="n">
        <x:v>34</x:v>
      </x:c>
      <x:c r="B35" s="9" t="str">
        <x:v>Kettering</x:v>
      </x:c>
      <x:c r="C35" s="13" t="n">
        <x:f>'Broad Screen'!$AK$24</x:f>
        <x:v>62.5</x:v>
      </x:c>
      <x:c r="D35" s="10" t="n">
        <x:f>'Broad Screen'!$K$24</x:f>
        <x:v>129475</x:v>
      </x:c>
      <x:c r="E35" s="9" t="n">
        <x:f>'Broad Screen'!$N$24</x:f>
        <x:v>3</x:v>
      </x:c>
      <x:c r="F35" s="9" t="n">
        <x:f>'Broad Screen'!$I$24</x:f>
        <x:v>4</x:v>
      </x:c>
      <x:c r="G35" s="9" t="n">
        <x:f>'Broad Screen'!$Y$24</x:f>
        <x:v>3</x:v>
      </x:c>
      <x:c r="H35" s="9" t="n">
        <x:f>'Broad Screen'!$AI$24</x:f>
        <x:v>3</x:v>
      </x:c>
      <x:c r="I35" s="9" t="n">
        <x:f>'Broad Screen'!$AG$24</x:f>
        <x:v>3</x:v>
      </x:c>
      <x:c r="J35" s="9" t="n">
        <x:f>'Broad Screen'!$W$24</x:f>
        <x:v>1.5</x:v>
      </x:c>
      <x:c r="K35" s="9" t="n">
        <x:f>'Broad Screen'!$AE$24</x:f>
        <x:v>5</x:v>
      </x:c>
      <x:c r="L35" s="13" t="n">
        <x:f>'Broad Screen'!$AM$24</x:f>
        <x:v>48</x:v>
      </x:c>
      <x:c r="M35" s="9" t="n">
        <x:f>'Broad Screen'!$AO$24</x:f>
        <x:v>0</x:v>
      </x:c>
      <x:c r="N35" s="14" t="n">
        <x:f>'Broad Screen'!$AP$24</x:f>
        <x:v>2</x:v>
      </x:c>
      <x:c r="O35" s="9" t="n">
        <x:f>'Broad Screen'!$AR$24</x:f>
        <x:v>0</x:v>
      </x:c>
      <x:c r="P35" s="9" t="str">
        <x:v>Not proposed</x:v>
      </x:c>
      <x:c r="Q35" s="9" t="str"/>
    </x:row>
    <x:row r="36">
      <x:c r="A36" s="9" t="n">
        <x:v>35</x:v>
      </x:c>
      <x:c r="B36" s="9" t="str">
        <x:v>Walsall</x:v>
      </x:c>
      <x:c r="C36" s="13" t="n">
        <x:f>'Broad Screen'!$AK$59</x:f>
        <x:v>62.5</x:v>
      </x:c>
      <x:c r="D36" s="10" t="n">
        <x:f>'Broad Screen'!$K$59</x:f>
        <x:v>119975</x:v>
      </x:c>
      <x:c r="E36" s="9" t="n">
        <x:f>'Broad Screen'!$N$59</x:f>
        <x:v>3</x:v>
      </x:c>
      <x:c r="F36" s="9" t="n">
        <x:f>'Broad Screen'!$I$59</x:f>
        <x:v>4</x:v>
      </x:c>
      <x:c r="G36" s="9" t="n">
        <x:f>'Broad Screen'!$Y$59</x:f>
        <x:v>4</x:v>
      </x:c>
      <x:c r="H36" s="9" t="n">
        <x:f>'Broad Screen'!$AI$59</x:f>
        <x:v>2</x:v>
      </x:c>
      <x:c r="I36" s="9" t="n">
        <x:f>'Broad Screen'!$AG$59</x:f>
        <x:v>2</x:v>
      </x:c>
      <x:c r="J36" s="9" t="n">
        <x:f>'Broad Screen'!$W$59</x:f>
        <x:v>2.5</x:v>
      </x:c>
      <x:c r="K36" s="9" t="n">
        <x:f>'Broad Screen'!$AE$59</x:f>
        <x:v>5</x:v>
      </x:c>
      <x:c r="L36" s="13" t="n">
        <x:f>'Broad Screen'!$AM$59</x:f>
        <x:v>45</x:v>
      </x:c>
      <x:c r="M36" s="9" t="n">
        <x:f>'Broad Screen'!$AO$59</x:f>
        <x:v>0</x:v>
      </x:c>
      <x:c r="N36" s="14" t="n">
        <x:f>'Broad Screen'!$AP$59</x:f>
        <x:v>2.142857142857143</x:v>
      </x:c>
      <x:c r="O36" s="9" t="n">
        <x:f>'Broad Screen'!$AR$59</x:f>
        <x:v>0</x:v>
      </x:c>
      <x:c r="P36" s="9" t="str">
        <x:v>Not proposed</x:v>
      </x:c>
      <x:c r="Q36" s="9" t="str"/>
    </x:row>
    <x:row r="37">
      <x:c r="A37" s="9" t="n">
        <x:v>36</x:v>
      </x:c>
      <x:c r="B37" s="9" t="str">
        <x:v>Wolverhampton</x:v>
      </x:c>
      <x:c r="C37" s="13" t="n">
        <x:f>'Broad Screen'!$AK$62</x:f>
        <x:v>62.5</x:v>
      </x:c>
      <x:c r="D37" s="10" t="n">
        <x:f>'Broad Screen'!$K$62</x:f>
        <x:v>117500</x:v>
      </x:c>
      <x:c r="E37" s="9" t="n">
        <x:f>'Broad Screen'!$N$62</x:f>
        <x:v>3</x:v>
      </x:c>
      <x:c r="F37" s="9" t="n">
        <x:f>'Broad Screen'!$I$62</x:f>
        <x:v>4</x:v>
      </x:c>
      <x:c r="G37" s="9" t="n">
        <x:f>'Broad Screen'!$Y$62</x:f>
        <x:v>4</x:v>
      </x:c>
      <x:c r="H37" s="9" t="n">
        <x:f>'Broad Screen'!$AI$62</x:f>
        <x:v>2</x:v>
      </x:c>
      <x:c r="I37" s="9" t="n">
        <x:f>'Broad Screen'!$AG$62</x:f>
        <x:v>2</x:v>
      </x:c>
      <x:c r="J37" s="9" t="n">
        <x:f>'Broad Screen'!$W$62</x:f>
        <x:v>2.5</x:v>
      </x:c>
      <x:c r="K37" s="9" t="n">
        <x:f>'Broad Screen'!$AE$62</x:f>
        <x:v>5</x:v>
      </x:c>
      <x:c r="L37" s="13" t="n">
        <x:f>'Broad Screen'!$AM$62</x:f>
        <x:v>45</x:v>
      </x:c>
      <x:c r="M37" s="9" t="n">
        <x:f>'Broad Screen'!$AO$62</x:f>
        <x:v>0</x:v>
      </x:c>
      <x:c r="N37" s="14" t="n">
        <x:f>'Broad Screen'!$AP$62</x:f>
        <x:v>2.142857142857143</x:v>
      </x:c>
      <x:c r="O37" s="9" t="n">
        <x:f>'Broad Screen'!$AR$62</x:f>
        <x:v>0</x:v>
      </x:c>
      <x:c r="P37" s="9" t="str">
        <x:v>Not proposed</x:v>
      </x:c>
      <x:c r="Q37" s="9" t="str"/>
    </x:row>
    <x:row r="38">
      <x:c r="A38" s="9" t="n">
        <x:v>37</x:v>
      </x:c>
      <x:c r="B38" s="9" t="str">
        <x:v>Peterborough</x:v>
      </x:c>
      <x:c r="C38" s="13" t="n">
        <x:f>'Broad Screen'!$AK$40</x:f>
        <x:v>62.5</x:v>
      </x:c>
      <x:c r="D38" s="10" t="n">
        <x:f>'Broad Screen'!$K$40</x:f>
        <x:v>129000</x:v>
      </x:c>
      <x:c r="E38" s="9" t="n">
        <x:f>'Broad Screen'!$N$40</x:f>
        <x:v>3</x:v>
      </x:c>
      <x:c r="F38" s="9" t="n">
        <x:f>'Broad Screen'!$I$40</x:f>
        <x:v>2</x:v>
      </x:c>
      <x:c r="G38" s="9" t="n">
        <x:f>'Broad Screen'!$Y$40</x:f>
        <x:v>4</x:v>
      </x:c>
      <x:c r="H38" s="9" t="n">
        <x:f>'Broad Screen'!$AI$40</x:f>
        <x:v>3</x:v>
      </x:c>
      <x:c r="I38" s="9" t="n">
        <x:f>'Broad Screen'!$AG$40</x:f>
        <x:v>2</x:v>
      </x:c>
      <x:c r="J38" s="9" t="n">
        <x:f>'Broad Screen'!$W$40</x:f>
        <x:v>3.5</x:v>
      </x:c>
      <x:c r="K38" s="9" t="n">
        <x:f>'Broad Screen'!$AE$40</x:f>
        <x:v>5</x:v>
      </x:c>
      <x:c r="L38" s="13" t="n">
        <x:f>'Broad Screen'!$AM$40</x:f>
        <x:v>42</x:v>
      </x:c>
      <x:c r="M38" s="9" t="n">
        <x:f>'Broad Screen'!$AO$40</x:f>
        <x:v>0</x:v>
      </x:c>
      <x:c r="N38" s="14" t="n">
        <x:f>'Broad Screen'!$AP$40</x:f>
        <x:v>2</x:v>
      </x:c>
      <x:c r="O38" s="9" t="n">
        <x:f>'Broad Screen'!$AR$40</x:f>
        <x:v>0</x:v>
      </x:c>
      <x:c r="P38" s="9" t="str">
        <x:v>Not proposed</x:v>
      </x:c>
      <x:c r="Q38" s="9" t="str"/>
    </x:row>
    <x:row r="39">
      <x:c r="A39" s="9" t="n">
        <x:v>38</x:v>
      </x:c>
      <x:c r="B39" s="9" t="str">
        <x:v>Birmingham</x:v>
      </x:c>
      <x:c r="C39" s="13" t="n">
        <x:f>'Broad Screen'!$AK$3</x:f>
        <x:v>62.5</x:v>
      </x:c>
      <x:c r="D39" s="10" t="n">
        <x:f>'Broad Screen'!$K$3</x:f>
        <x:v>150000</x:v>
      </x:c>
      <x:c r="E39" s="9" t="n">
        <x:f>'Broad Screen'!$N$3</x:f>
        <x:v>1</x:v>
      </x:c>
      <x:c r="F39" s="9" t="n">
        <x:f>'Broad Screen'!$I$3</x:f>
        <x:v>2</x:v>
      </x:c>
      <x:c r="G39" s="9" t="n">
        <x:f>'Broad Screen'!$Y$3</x:f>
        <x:v>5</x:v>
      </x:c>
      <x:c r="H39" s="9" t="n">
        <x:f>'Broad Screen'!$AI$3</x:f>
        <x:v>3</x:v>
      </x:c>
      <x:c r="I39" s="9" t="n">
        <x:f>'Broad Screen'!$AG$3</x:f>
        <x:v>2</x:v>
      </x:c>
      <x:c r="J39" s="9" t="n">
        <x:f>'Broad Screen'!$W$3</x:f>
        <x:v>4.5</x:v>
      </x:c>
      <x:c r="K39" s="9" t="n">
        <x:f>'Broad Screen'!$AE$3</x:f>
        <x:v>5</x:v>
      </x:c>
      <x:c r="L39" s="13" t="n">
        <x:f>'Broad Screen'!$AM$3</x:f>
        <x:v>39</x:v>
      </x:c>
      <x:c r="M39" s="9" t="n">
        <x:f>'Broad Screen'!$AO$3</x:f>
        <x:v>0</x:v>
      </x:c>
      <x:c r="N39" s="14" t="n">
        <x:f>'Broad Screen'!$AP$3</x:f>
        <x:v>2.142857142857143</x:v>
      </x:c>
      <x:c r="O39" s="9" t="n">
        <x:f>'Broad Screen'!$AR$3</x:f>
        <x:v>0</x:v>
      </x:c>
      <x:c r="P39" s="9" t="str">
        <x:v>Not proposed</x:v>
      </x:c>
      <x:c r="Q39" s="9" t="str"/>
    </x:row>
    <x:row r="40">
      <x:c r="A40" s="9" t="n">
        <x:v>39</x:v>
      </x:c>
      <x:c r="B40" s="9" t="str">
        <x:v>Nottingham</x:v>
      </x:c>
      <x:c r="C40" s="13" t="n">
        <x:f>'Broad Screen'!$AK$39</x:f>
        <x:v>62.5</x:v>
      </x:c>
      <x:c r="D40" s="10" t="n">
        <x:f>'Broad Screen'!$K$39</x:f>
        <x:v>140000</x:v>
      </x:c>
      <x:c r="E40" s="9" t="n">
        <x:f>'Broad Screen'!$N$39</x:f>
        <x:v>1</x:v>
      </x:c>
      <x:c r="F40" s="9" t="n">
        <x:f>'Broad Screen'!$I$39</x:f>
        <x:v>1</x:v>
      </x:c>
      <x:c r="G40" s="9" t="n">
        <x:f>'Broad Screen'!$Y$39</x:f>
        <x:v>5</x:v>
      </x:c>
      <x:c r="H40" s="9" t="n">
        <x:f>'Broad Screen'!$AI$39</x:f>
        <x:v>4</x:v>
      </x:c>
      <x:c r="I40" s="9" t="n">
        <x:f>'Broad Screen'!$AG$39</x:f>
        <x:v>2</x:v>
      </x:c>
      <x:c r="J40" s="9" t="n">
        <x:f>'Broad Screen'!$W$39</x:f>
        <x:v>4.5</x:v>
      </x:c>
      <x:c r="K40" s="9" t="n">
        <x:f>'Broad Screen'!$AE$39</x:f>
        <x:v>5</x:v>
      </x:c>
      <x:c r="L40" s="13" t="n">
        <x:f>'Broad Screen'!$AM$39</x:f>
        <x:v>39</x:v>
      </x:c>
      <x:c r="M40" s="9" t="n">
        <x:f>'Broad Screen'!$AO$39</x:f>
        <x:v>1</x:v>
      </x:c>
      <x:c r="N40" s="14" t="n">
        <x:f>'Broad Screen'!$AP$39</x:f>
        <x:v>2.2857142857142856</x:v>
      </x:c>
      <x:c r="O40" s="9" t="n">
        <x:f>'Broad Screen'!$AR$39</x:f>
        <x:v>0</x:v>
      </x:c>
      <x:c r="P40" s="9" t="str">
        <x:v>Not proposed</x:v>
      </x:c>
      <x:c r="Q40" s="9" t="str"/>
    </x:row>
    <x:row r="41">
      <x:c r="A41" s="9" t="n">
        <x:v>40</x:v>
      </x:c>
      <x:c r="B41" s="9" t="str">
        <x:v>Bradford</x:v>
      </x:c>
      <x:c r="C41" s="13" t="n">
        <x:f>'Broad Screen'!$AK$7</x:f>
        <x:v>61.5</x:v>
      </x:c>
      <x:c r="D41" s="10" t="n">
        <x:f>'Broad Screen'!$K$7</x:f>
        <x:v>99000</x:v>
      </x:c>
      <x:c r="E41" s="9" t="n">
        <x:f>'Broad Screen'!$N$7</x:f>
        <x:v>5</x:v>
      </x:c>
      <x:c r="F41" s="9" t="n">
        <x:f>'Broad Screen'!$I$7</x:f>
        <x:v>2</x:v>
      </x:c>
      <x:c r="G41" s="9" t="n">
        <x:f>'Broad Screen'!$Y$7</x:f>
        <x:v>4</x:v>
      </x:c>
      <x:c r="H41" s="9" t="n">
        <x:f>'Broad Screen'!$AI$7</x:f>
        <x:v>2</x:v>
      </x:c>
      <x:c r="I41" s="9" t="n">
        <x:f>'Broad Screen'!$AG$7</x:f>
        <x:v>2</x:v>
      </x:c>
      <x:c r="J41" s="9" t="n">
        <x:f>'Broad Screen'!$W$7</x:f>
        <x:v>3.5</x:v>
      </x:c>
      <x:c r="K41" s="9" t="n">
        <x:f>'Broad Screen'!$AE$7</x:f>
        <x:v>3</x:v>
      </x:c>
      <x:c r="L41" s="13" t="n">
        <x:f>'Broad Screen'!$AM$7</x:f>
        <x:v>45</x:v>
      </x:c>
      <x:c r="M41" s="9" t="n">
        <x:f>'Broad Screen'!$AO$7</x:f>
        <x:v>0</x:v>
      </x:c>
      <x:c r="N41" s="14" t="n">
        <x:f>'Broad Screen'!$AP$7</x:f>
        <x:v>2.142857142857143</x:v>
      </x:c>
      <x:c r="O41" s="9" t="n">
        <x:f>'Broad Screen'!$AR$7</x:f>
        <x:v>0</x:v>
      </x:c>
      <x:c r="P41" s="9" t="str">
        <x:v>Not proposed</x:v>
      </x:c>
      <x:c r="Q41" s="9" t="str"/>
    </x:row>
    <x:row r="42">
      <x:c r="A42" s="9" t="n">
        <x:v>41</x:v>
      </x:c>
      <x:c r="B42" s="9" t="str">
        <x:v>Torbay</x:v>
      </x:c>
      <x:c r="C42" s="13" t="n">
        <x:f>'Broad Screen'!$AK$57</x:f>
        <x:v>61.5</x:v>
      </x:c>
      <x:c r="D42" s="10" t="n">
        <x:f>'Broad Screen'!$K$57</x:f>
        <x:v>148000</x:v>
      </x:c>
      <x:c r="E42" s="9" t="n">
        <x:f>'Broad Screen'!$N$57</x:f>
        <x:v>1</x:v>
      </x:c>
      <x:c r="F42" s="9" t="n">
        <x:f>'Broad Screen'!$I$57</x:f>
        <x:v>3</x:v>
      </x:c>
      <x:c r="G42" s="9" t="n">
        <x:f>'Broad Screen'!$Y$57</x:f>
        <x:v>3</x:v>
      </x:c>
      <x:c r="H42" s="9" t="n">
        <x:f>'Broad Screen'!$AI$57</x:f>
        <x:v>4</x:v>
      </x:c>
      <x:c r="I42" s="9" t="n">
        <x:f>'Broad Screen'!$AG$57</x:f>
        <x:v>4</x:v>
      </x:c>
      <x:c r="J42" s="9" t="n">
        <x:f>'Broad Screen'!$W$57</x:f>
        <x:v>3.5</x:v>
      </x:c>
      <x:c r="K42" s="9" t="n">
        <x:f>'Broad Screen'!$AE$57</x:f>
        <x:v>3</x:v>
      </x:c>
      <x:c r="L42" s="13" t="n">
        <x:f>'Broad Screen'!$AM$57</x:f>
        <x:v>45</x:v>
      </x:c>
      <x:c r="M42" s="9" t="n">
        <x:f>'Broad Screen'!$AO$57</x:f>
        <x:v>0</x:v>
      </x:c>
      <x:c r="N42" s="14" t="n">
        <x:f>'Broad Screen'!$AP$57</x:f>
        <x:v>2</x:v>
      </x:c>
      <x:c r="O42" s="9" t="n">
        <x:f>'Broad Screen'!$AR$57</x:f>
        <x:v>0</x:v>
      </x:c>
      <x:c r="P42" s="9" t="str">
        <x:v>Not proposed</x:v>
      </x:c>
      <x:c r="Q42" s="9" t="str"/>
    </x:row>
    <x:row r="43">
      <x:c r="A43" s="9" t="n">
        <x:v>42</x:v>
      </x:c>
      <x:c r="B43" s="9" t="str">
        <x:v>Merthyr Tydfil</x:v>
      </x:c>
      <x:c r="C43" s="13" t="n">
        <x:f>'Broad Screen'!$AK$32</x:f>
        <x:v>61</x:v>
      </x:c>
      <x:c r="D43" s="10" t="n">
        <x:f>'Broad Screen'!$K$32</x:f>
        <x:v>66248</x:v>
      </x:c>
      <x:c r="E43" s="9" t="n">
        <x:f>'Broad Screen'!$N$32</x:f>
        <x:v>5</x:v>
      </x:c>
      <x:c r="F43" s="9" t="n">
        <x:f>'Broad Screen'!$I$32</x:f>
        <x:v>5</x:v>
      </x:c>
      <x:c r="G43" s="9" t="n">
        <x:f>'Broad Screen'!$Y$32</x:f>
        <x:v>3</x:v>
      </x:c>
      <x:c r="H43" s="9" t="n">
        <x:f>'Broad Screen'!$AI$32</x:f>
        <x:v>2</x:v>
      </x:c>
      <x:c r="I43" s="9" t="n">
        <x:f>'Broad Screen'!$AG$32</x:f>
        <x:v>3</x:v>
      </x:c>
      <x:c r="J43" s="9" t="n">
        <x:f>'Broad Screen'!$W$32</x:f>
        <x:v>1</x:v>
      </x:c>
      <x:c r="K43" s="9" t="n">
        <x:f>'Broad Screen'!$AE$32</x:f>
        <x:v>2</x:v>
      </x:c>
      <x:c r="L43" s="13" t="n">
        <x:f>'Broad Screen'!$AM$32</x:f>
        <x:v>54</x:v>
      </x:c>
      <x:c r="M43" s="9" t="n">
        <x:f>'Broad Screen'!$AO$32</x:f>
        <x:v>0</x:v>
      </x:c>
      <x:c r="N43" s="14" t="n">
        <x:f>'Broad Screen'!$AP$32</x:f>
        <x:v>1.7142857142857142</x:v>
      </x:c>
      <x:c r="O43" s="9" t="n">
        <x:f>'Broad Screen'!$AR$32</x:f>
        <x:v>0</x:v>
      </x:c>
      <x:c r="P43" s="9" t="str">
        <x:v>Not proposed</x:v>
      </x:c>
      <x:c r="Q43" s="9" t="str"/>
    </x:row>
    <x:row r="44">
      <x:c r="A44" s="9" t="n">
        <x:v>43</x:v>
      </x:c>
      <x:c r="B44" s="9" t="str">
        <x:v>Bolton</x:v>
      </x:c>
      <x:c r="C44" s="13" t="n">
        <x:f>'Broad Screen'!$AK$6</x:f>
        <x:v>60.588235294117645</x:v>
      </x:c>
      <x:c r="D44" s="10" t="n">
        <x:f>'Broad Screen'!$K$6</x:f>
        <x:v>114000</x:v>
      </x:c>
      <x:c r="E44" s="9" t="n">
        <x:f>'Broad Screen'!$N$6</x:f>
        <x:v>3</x:v>
      </x:c>
      <x:c r="F44" s="9" t="n">
        <x:f>'Broad Screen'!$I$6</x:f>
        <x:v>0</x:v>
      </x:c>
      <x:c r="G44" s="9" t="n">
        <x:f>'Broad Screen'!$Y$6</x:f>
        <x:v>4</x:v>
      </x:c>
      <x:c r="H44" s="9" t="n">
        <x:f>'Broad Screen'!$AI$6</x:f>
        <x:v>2</x:v>
      </x:c>
      <x:c r="I44" s="9" t="n">
        <x:f>'Broad Screen'!$AG$6</x:f>
        <x:v>3</x:v>
      </x:c>
      <x:c r="J44" s="9" t="n">
        <x:f>'Broad Screen'!$W$6</x:f>
        <x:v>2.5</x:v>
      </x:c>
      <x:c r="K44" s="9" t="n">
        <x:f>'Broad Screen'!$AE$6</x:f>
        <x:v>4</x:v>
      </x:c>
      <x:c r="L44" s="13" t="n">
        <x:f>'Broad Screen'!$AM$6</x:f>
        <x:v>45</x:v>
      </x:c>
      <x:c r="M44" s="9" t="n">
        <x:f>'Broad Screen'!$AO$6</x:f>
        <x:v>0</x:v>
      </x:c>
      <x:c r="N44" s="14" t="n">
        <x:f>'Broad Screen'!$AP$6</x:f>
        <x:v>2</x:v>
      </x:c>
      <x:c r="O44" s="9" t="n">
        <x:f>'Broad Screen'!$AR$6</x:f>
        <x:v>1</x:v>
      </x:c>
      <x:c r="P44" s="9" t="str">
        <x:v>Not proposed</x:v>
      </x:c>
      <x:c r="Q44" s="9" t="str"/>
    </x:row>
    <x:row r="45">
      <x:c r="A45" s="9" t="n">
        <x:v>44</x:v>
      </x:c>
      <x:c r="B45" s="9" t="str">
        <x:v>Lincoln</x:v>
      </x:c>
      <x:c r="C45" s="13" t="n">
        <x:f>'Broad Screen'!$AK$28</x:f>
        <x:v>60.5</x:v>
      </x:c>
      <x:c r="D45" s="10" t="n">
        <x:f>'Broad Screen'!$K$28</x:f>
        <x:v>118000</x:v>
      </x:c>
      <x:c r="E45" s="9" t="n">
        <x:f>'Broad Screen'!$N$28</x:f>
        <x:v>3</x:v>
      </x:c>
      <x:c r="F45" s="9" t="n">
        <x:f>'Broad Screen'!$I$28</x:f>
        <x:v>2</x:v>
      </x:c>
      <x:c r="G45" s="9" t="n">
        <x:f>'Broad Screen'!$Y$28</x:f>
        <x:v>3</x:v>
      </x:c>
      <x:c r="H45" s="9" t="n">
        <x:f>'Broad Screen'!$AI$28</x:f>
        <x:v>4</x:v>
      </x:c>
      <x:c r="I45" s="9" t="n">
        <x:f>'Broad Screen'!$AG$28</x:f>
        <x:v>3</x:v>
      </x:c>
      <x:c r="J45" s="9" t="n">
        <x:f>'Broad Screen'!$W$28</x:f>
        <x:v>2.5</x:v>
      </x:c>
      <x:c r="K45" s="9" t="n">
        <x:f>'Broad Screen'!$AE$28</x:f>
        <x:v>4</x:v>
      </x:c>
      <x:c r="L45" s="13" t="n">
        <x:f>'Broad Screen'!$AM$28</x:f>
        <x:v>45</x:v>
      </x:c>
      <x:c r="M45" s="9" t="n">
        <x:f>'Broad Screen'!$AO$28</x:f>
        <x:v>0</x:v>
      </x:c>
      <x:c r="N45" s="14" t="n">
        <x:f>'Broad Screen'!$AP$28</x:f>
        <x:v>2.142857142857143</x:v>
      </x:c>
      <x:c r="O45" s="9" t="n">
        <x:f>'Broad Screen'!$AR$28</x:f>
        <x:v>0</x:v>
      </x:c>
      <x:c r="P45" s="9" t="str">
        <x:v>Not proposed</x:v>
      </x:c>
      <x:c r="Q45" s="9" t="str"/>
    </x:row>
    <x:row r="46">
      <x:c r="A46" s="9" t="n">
        <x:v>45</x:v>
      </x:c>
      <x:c r="B46" s="9" t="str">
        <x:v>Liverpool</x:v>
      </x:c>
      <x:c r="C46" s="13" t="n">
        <x:f>'Broad Screen'!$AK$29</x:f>
        <x:v>60.5</x:v>
      </x:c>
      <x:c r="D46" s="10" t="n">
        <x:f>'Broad Screen'!$K$29</x:f>
        <x:v>145000</x:v>
      </x:c>
      <x:c r="E46" s="9" t="n">
        <x:f>'Broad Screen'!$N$29</x:f>
        <x:v>1</x:v>
      </x:c>
      <x:c r="F46" s="9" t="n">
        <x:f>'Broad Screen'!$I$29</x:f>
        <x:v>1</x:v>
      </x:c>
      <x:c r="G46" s="9" t="n">
        <x:f>'Broad Screen'!$Y$29</x:f>
        <x:v>5</x:v>
      </x:c>
      <x:c r="H46" s="9" t="n">
        <x:f>'Broad Screen'!$AI$29</x:f>
        <x:v>4</x:v>
      </x:c>
      <x:c r="I46" s="9" t="n">
        <x:f>'Broad Screen'!$AG$29</x:f>
        <x:v>2</x:v>
      </x:c>
      <x:c r="J46" s="9" t="n">
        <x:f>'Broad Screen'!$W$29</x:f>
        <x:v>4.5</x:v>
      </x:c>
      <x:c r="K46" s="9" t="n">
        <x:f>'Broad Screen'!$AE$29</x:f>
        <x:v>4</x:v>
      </x:c>
      <x:c r="L46" s="13" t="n">
        <x:f>'Broad Screen'!$AM$29</x:f>
        <x:v>39</x:v>
      </x:c>
      <x:c r="M46" s="9" t="n">
        <x:f>'Broad Screen'!$AO$29</x:f>
        <x:v>1</x:v>
      </x:c>
      <x:c r="N46" s="14" t="n">
        <x:f>'Broad Screen'!$AP$29</x:f>
        <x:v>2.2857142857142856</x:v>
      </x:c>
      <x:c r="O46" s="9" t="n">
        <x:f>'Broad Screen'!$AR$29</x:f>
        <x:v>0</x:v>
      </x:c>
      <x:c r="P46" s="9" t="str">
        <x:v>Not proposed</x:v>
      </x:c>
      <x:c r="Q46" s="9" t="str"/>
    </x:row>
    <x:row r="47">
      <x:c r="A47" s="9" t="n">
        <x:v>46</x:v>
      </x:c>
      <x:c r="B47" s="9" t="str">
        <x:v>Derby</x:v>
      </x:c>
      <x:c r="C47" s="13" t="n">
        <x:f>'Broad Screen'!$AK$15</x:f>
        <x:v>59.5</x:v>
      </x:c>
      <x:c r="D47" s="10" t="n">
        <x:f>'Broad Screen'!$K$15</x:f>
        <x:v>125000</x:v>
      </x:c>
      <x:c r="E47" s="9" t="n">
        <x:f>'Broad Screen'!$N$15</x:f>
        <x:v>3</x:v>
      </x:c>
      <x:c r="F47" s="9" t="n">
        <x:f>'Broad Screen'!$I$15</x:f>
        <x:v>2</x:v>
      </x:c>
      <x:c r="G47" s="9" t="n">
        <x:f>'Broad Screen'!$Y$15</x:f>
        <x:v>4</x:v>
      </x:c>
      <x:c r="H47" s="9" t="n">
        <x:f>'Broad Screen'!$AI$15</x:f>
        <x:v>3</x:v>
      </x:c>
      <x:c r="I47" s="9" t="n">
        <x:f>'Broad Screen'!$AG$15</x:f>
        <x:v>2</x:v>
      </x:c>
      <x:c r="J47" s="9" t="n">
        <x:f>'Broad Screen'!$W$15</x:f>
        <x:v>2.5</x:v>
      </x:c>
      <x:c r="K47" s="9" t="n">
        <x:f>'Broad Screen'!$AE$15</x:f>
        <x:v>5</x:v>
      </x:c>
      <x:c r="L47" s="13" t="n">
        <x:f>'Broad Screen'!$AM$15</x:f>
        <x:v>42</x:v>
      </x:c>
      <x:c r="M47" s="9" t="n">
        <x:f>'Broad Screen'!$AO$15</x:f>
        <x:v>0</x:v>
      </x:c>
      <x:c r="N47" s="14" t="n">
        <x:f>'Broad Screen'!$AP$15</x:f>
        <x:v>2</x:v>
      </x:c>
      <x:c r="O47" s="9" t="n">
        <x:f>'Broad Screen'!$AR$15</x:f>
        <x:v>0</x:v>
      </x:c>
      <x:c r="P47" s="9" t="str">
        <x:v>Not proposed</x:v>
      </x:c>
      <x:c r="Q47" s="9" t="str"/>
    </x:row>
    <x:row r="48">
      <x:c r="A48" s="9" t="n">
        <x:v>47</x:v>
      </x:c>
      <x:c r="B48" s="9" t="str">
        <x:v>Leicester</x:v>
      </x:c>
      <x:c r="C48" s="13" t="n">
        <x:f>'Broad Screen'!$AK$27</x:f>
        <x:v>59.5</x:v>
      </x:c>
      <x:c r="D48" s="10" t="n">
        <x:f>'Broad Screen'!$K$27</x:f>
        <x:v>130000</x:v>
      </x:c>
      <x:c r="E48" s="9" t="n">
        <x:f>'Broad Screen'!$N$27</x:f>
        <x:v>3</x:v>
      </x:c>
      <x:c r="F48" s="9" t="n">
        <x:f>'Broad Screen'!$I$27</x:f>
        <x:v>1</x:v>
      </x:c>
      <x:c r="G48" s="9" t="n">
        <x:f>'Broad Screen'!$Y$27</x:f>
        <x:v>4</x:v>
      </x:c>
      <x:c r="H48" s="9" t="n">
        <x:f>'Broad Screen'!$AI$27</x:f>
        <x:v>3</x:v>
      </x:c>
      <x:c r="I48" s="9" t="n">
        <x:f>'Broad Screen'!$AG$27</x:f>
        <x:v>2</x:v>
      </x:c>
      <x:c r="J48" s="9" t="n">
        <x:f>'Broad Screen'!$W$27</x:f>
        <x:v>3.5</x:v>
      </x:c>
      <x:c r="K48" s="9" t="n">
        <x:f>'Broad Screen'!$AE$27</x:f>
        <x:v>5</x:v>
      </x:c>
      <x:c r="L48" s="13" t="n">
        <x:f>'Broad Screen'!$AM$27</x:f>
        <x:v>39</x:v>
      </x:c>
      <x:c r="M48" s="9" t="n">
        <x:f>'Broad Screen'!$AO$27</x:f>
        <x:v>1</x:v>
      </x:c>
      <x:c r="N48" s="14" t="n">
        <x:f>'Broad Screen'!$AP$27</x:f>
        <x:v>2</x:v>
      </x:c>
      <x:c r="O48" s="9" t="n">
        <x:f>'Broad Screen'!$AR$27</x:f>
        <x:v>0</x:v>
      </x:c>
      <x:c r="P48" s="9" t="str">
        <x:v>Not proposed</x:v>
      </x:c>
      <x:c r="Q48" s="9" t="str"/>
    </x:row>
    <x:row r="49">
      <x:c r="A49" s="9" t="n">
        <x:v>48</x:v>
      </x:c>
      <x:c r="B49" s="9" t="str">
        <x:v>St Helens</x:v>
      </x:c>
      <x:c r="C49" s="13" t="n">
        <x:f>'Broad Screen'!$AK$48</x:f>
        <x:v>59</x:v>
      </x:c>
      <x:c r="D49" s="10" t="n">
        <x:f>'Broad Screen'!$K$48</x:f>
        <x:v>94000</x:v>
      </x:c>
      <x:c r="E49" s="9" t="n">
        <x:f>'Broad Screen'!$N$48</x:f>
        <x:v>5</x:v>
      </x:c>
      <x:c r="F49" s="9" t="n">
        <x:f>'Broad Screen'!$I$48</x:f>
        <x:v>4</x:v>
      </x:c>
      <x:c r="G49" s="9" t="n">
        <x:f>'Broad Screen'!$Y$48</x:f>
        <x:v>3</x:v>
      </x:c>
      <x:c r="H49" s="9" t="n">
        <x:f>'Broad Screen'!$AI$48</x:f>
        <x:v>2</x:v>
      </x:c>
      <x:c r="I49" s="9" t="n">
        <x:f>'Broad Screen'!$AG$48</x:f>
        <x:v>2</x:v>
      </x:c>
      <x:c r="J49" s="9" t="n">
        <x:f>'Broad Screen'!$W$48</x:f>
        <x:v>1</x:v>
      </x:c>
      <x:c r="K49" s="9" t="n">
        <x:f>'Broad Screen'!$AE$48</x:f>
        <x:v>4</x:v>
      </x:c>
      <x:c r="L49" s="13" t="n">
        <x:f>'Broad Screen'!$AM$48</x:f>
        <x:v>48</x:v>
      </x:c>
      <x:c r="M49" s="9" t="n">
        <x:f>'Broad Screen'!$AO$48</x:f>
        <x:v>0</x:v>
      </x:c>
      <x:c r="N49" s="14" t="n">
        <x:f>'Broad Screen'!$AP$48</x:f>
        <x:v>2.142857142857143</x:v>
      </x:c>
      <x:c r="O49" s="9" t="n">
        <x:f>'Broad Screen'!$AR$48</x:f>
        <x:v>0</x:v>
      </x:c>
      <x:c r="P49" s="9" t="str">
        <x:v>Not proposed</x:v>
      </x:c>
      <x:c r="Q49" s="9" t="str"/>
    </x:row>
    <x:row r="50">
      <x:c r="A50" s="9" t="n">
        <x:v>49</x:v>
      </x:c>
      <x:c r="B50" s="9" t="str">
        <x:v>Wrexham</x:v>
      </x:c>
      <x:c r="C50" s="13" t="n">
        <x:f>'Broad Screen'!$AK$64</x:f>
        <x:v>59</x:v>
      </x:c>
      <x:c r="D50" s="10" t="n">
        <x:f>'Broad Screen'!$K$64</x:f>
        <x:v>112500</x:v>
      </x:c>
      <x:c r="E50" s="9" t="n">
        <x:f>'Broad Screen'!$N$64</x:f>
        <x:v>3</x:v>
      </x:c>
      <x:c r="F50" s="9" t="n">
        <x:f>'Broad Screen'!$I$64</x:f>
        <x:v>4</x:v>
      </x:c>
      <x:c r="G50" s="9" t="n">
        <x:f>'Broad Screen'!$Y$64</x:f>
        <x:v>3</x:v>
      </x:c>
      <x:c r="H50" s="9" t="n">
        <x:f>'Broad Screen'!$AI$64</x:f>
        <x:v>3</x:v>
      </x:c>
      <x:c r="I50" s="9" t="n">
        <x:f>'Broad Screen'!$AG$64</x:f>
        <x:v>3</x:v>
      </x:c>
      <x:c r="J50" s="9" t="n">
        <x:f>'Broad Screen'!$W$64</x:f>
        <x:v>1</x:v>
      </x:c>
      <x:c r="K50" s="9" t="n">
        <x:f>'Broad Screen'!$AE$64</x:f>
        <x:v>4</x:v>
      </x:c>
      <x:c r="L50" s="13" t="n">
        <x:f>'Broad Screen'!$AM$64</x:f>
        <x:v>48</x:v>
      </x:c>
      <x:c r="M50" s="9" t="n">
        <x:f>'Broad Screen'!$AO$64</x:f>
        <x:v>0</x:v>
      </x:c>
      <x:c r="N50" s="14" t="n">
        <x:f>'Broad Screen'!$AP$64</x:f>
        <x:v>2.142857142857143</x:v>
      </x:c>
      <x:c r="O50" s="9" t="n">
        <x:f>'Broad Screen'!$AR$64</x:f>
        <x:v>0</x:v>
      </x:c>
      <x:c r="P50" s="9" t="str">
        <x:v>Not proposed</x:v>
      </x:c>
      <x:c r="Q50" s="9" t="str"/>
    </x:row>
    <x:row r="51">
      <x:c r="A51" s="9" t="n">
        <x:v>50</x:v>
      </x:c>
      <x:c r="B51" s="9" t="str">
        <x:v>Stockton-on-Tees</x:v>
      </x:c>
      <x:c r="C51" s="13" t="n">
        <x:f>'Broad Screen'!$AK$51</x:f>
        <x:v>58.5</x:v>
      </x:c>
      <x:c r="D51" s="10" t="n">
        <x:f>'Broad Screen'!$K$51</x:f>
        <x:v>78000</x:v>
      </x:c>
      <x:c r="E51" s="9" t="n">
        <x:f>'Broad Screen'!$N$51</x:f>
        <x:v>5</x:v>
      </x:c>
      <x:c r="F51" s="9" t="n">
        <x:f>'Broad Screen'!$I$51</x:f>
        <x:v>3</x:v>
      </x:c>
      <x:c r="G51" s="9" t="n">
        <x:f>'Broad Screen'!$Y$51</x:f>
        <x:v>3</x:v>
      </x:c>
      <x:c r="H51" s="9" t="n">
        <x:f>'Broad Screen'!$AI$51</x:f>
        <x:v>3</x:v>
      </x:c>
      <x:c r="I51" s="9" t="n">
        <x:f>'Broad Screen'!$AG$51</x:f>
        <x:v>2</x:v>
      </x:c>
      <x:c r="J51" s="9" t="n">
        <x:f>'Broad Screen'!$W$51</x:f>
        <x:v>1.5</x:v>
      </x:c>
      <x:c r="K51" s="9" t="n">
        <x:f>'Broad Screen'!$AE$51</x:f>
        <x:v>3</x:v>
      </x:c>
      <x:c r="L51" s="13" t="n">
        <x:f>'Broad Screen'!$AM$51</x:f>
        <x:v>48</x:v>
      </x:c>
      <x:c r="M51" s="9" t="n">
        <x:f>'Broad Screen'!$AO$51</x:f>
        <x:v>0</x:v>
      </x:c>
      <x:c r="N51" s="14" t="n">
        <x:f>'Broad Screen'!$AP$51</x:f>
        <x:v>1.8571428571428572</x:v>
      </x:c>
      <x:c r="O51" s="9" t="n">
        <x:f>'Broad Screen'!$AR$51</x:f>
        <x:v>0</x:v>
      </x:c>
      <x:c r="P51" s="9" t="str">
        <x:v>Not proposed</x:v>
      </x:c>
      <x:c r="Q51" s="9" t="str"/>
    </x:row>
    <x:row r="52">
      <x:c r="A52" s="9" t="n">
        <x:v>51</x:v>
      </x:c>
      <x:c r="B52" s="9" t="str">
        <x:v>Blackpool</x:v>
      </x:c>
      <x:c r="C52" s="13" t="n">
        <x:f>'Broad Screen'!$AK$5</x:f>
        <x:v>58.5</x:v>
      </x:c>
      <x:c r="D52" s="10" t="n">
        <x:f>'Broad Screen'!$K$5</x:f>
        <x:v>80000</x:v>
      </x:c>
      <x:c r="E52" s="9" t="n">
        <x:f>'Broad Screen'!$N$5</x:f>
        <x:v>5</x:v>
      </x:c>
      <x:c r="F52" s="9" t="n">
        <x:f>'Broad Screen'!$I$5</x:f>
        <x:v>1</x:v>
      </x:c>
      <x:c r="G52" s="9" t="n">
        <x:f>'Broad Screen'!$Y$5</x:f>
        <x:v>4</x:v>
      </x:c>
      <x:c r="H52" s="9" t="n">
        <x:f>'Broad Screen'!$AI$5</x:f>
        <x:v>2</x:v>
      </x:c>
      <x:c r="I52" s="9" t="n">
        <x:f>'Broad Screen'!$AG$5</x:f>
        <x:v>2</x:v>
      </x:c>
      <x:c r="J52" s="9" t="n">
        <x:f>'Broad Screen'!$W$5</x:f>
        <x:v>3.5</x:v>
      </x:c>
      <x:c r="K52" s="9" t="n">
        <x:f>'Broad Screen'!$AE$5</x:f>
        <x:v>3</x:v>
      </x:c>
      <x:c r="L52" s="13" t="n">
        <x:f>'Broad Screen'!$AM$5</x:f>
        <x:v>42</x:v>
      </x:c>
      <x:c r="M52" s="9" t="n">
        <x:f>'Broad Screen'!$AO$5</x:f>
        <x:v>1</x:v>
      </x:c>
      <x:c r="N52" s="14" t="n">
        <x:f>'Broad Screen'!$AP$5</x:f>
        <x:v>2.142857142857143</x:v>
      </x:c>
      <x:c r="O52" s="9" t="n">
        <x:f>'Broad Screen'!$AR$5</x:f>
        <x:v>0</x:v>
      </x:c>
      <x:c r="P52" s="9" t="str">
        <x:v>Not proposed</x:v>
      </x:c>
      <x:c r="Q52" s="9" t="str"/>
    </x:row>
    <x:row r="53">
      <x:c r="A53" s="9" t="n">
        <x:v>52</x:v>
      </x:c>
      <x:c r="B53" s="9" t="str">
        <x:v>Rotherham</x:v>
      </x:c>
      <x:c r="C53" s="13" t="n">
        <x:f>'Broad Screen'!$AK$44</x:f>
        <x:v>57.5</x:v>
      </x:c>
      <x:c r="D53" s="10" t="n">
        <x:f>'Broad Screen'!$K$44</x:f>
        <x:v>111625</x:v>
      </x:c>
      <x:c r="E53" s="9" t="n">
        <x:f>'Broad Screen'!$N$44</x:f>
        <x:v>3</x:v>
      </x:c>
      <x:c r="F53" s="9" t="n">
        <x:f>'Broad Screen'!$I$44</x:f>
        <x:v>4</x:v>
      </x:c>
      <x:c r="G53" s="9" t="n">
        <x:f>'Broad Screen'!$Y$44</x:f>
        <x:v>4</x:v>
      </x:c>
      <x:c r="H53" s="9" t="n">
        <x:f>'Broad Screen'!$AI$44</x:f>
        <x:v>2</x:v>
      </x:c>
      <x:c r="I53" s="9" t="n">
        <x:f>'Broad Screen'!$AG$44</x:f>
        <x:v>2</x:v>
      </x:c>
      <x:c r="J53" s="9" t="n">
        <x:f>'Broad Screen'!$W$44</x:f>
        <x:v>1.5</x:v>
      </x:c>
      <x:c r="K53" s="9" t="n">
        <x:f>'Broad Screen'!$AE$44</x:f>
        <x:v>4</x:v>
      </x:c>
      <x:c r="L53" s="13" t="n">
        <x:f>'Broad Screen'!$AM$44</x:f>
        <x:v>45</x:v>
      </x:c>
      <x:c r="M53" s="9" t="n">
        <x:f>'Broad Screen'!$AO$44</x:f>
        <x:v>0</x:v>
      </x:c>
      <x:c r="N53" s="14" t="n">
        <x:f>'Broad Screen'!$AP$44</x:f>
        <x:v>2.142857142857143</x:v>
      </x:c>
      <x:c r="O53" s="9" t="n">
        <x:f>'Broad Screen'!$AR$44</x:f>
        <x:v>0</x:v>
      </x:c>
      <x:c r="P53" s="9" t="str">
        <x:v>Not proposed</x:v>
      </x:c>
      <x:c r="Q53" s="9" t="str"/>
    </x:row>
    <x:row r="54">
      <x:c r="A54" s="9" t="n">
        <x:v>53</x:v>
      </x:c>
      <x:c r="B54" s="9" t="str">
        <x:v>Portsmouth</x:v>
      </x:c>
      <x:c r="C54" s="13" t="n">
        <x:f>'Broad Screen'!$AK$42</x:f>
        <x:v>57.5</x:v>
      </x:c>
      <x:c r="D54" s="10" t="n">
        <x:f>'Broad Screen'!$K$42</x:f>
        <x:v>165000</x:v>
      </x:c>
      <x:c r="E54" s="9" t="n">
        <x:f>'Broad Screen'!$N$42</x:f>
        <x:v>1</x:v>
      </x:c>
      <x:c r="F54" s="9" t="n">
        <x:f>'Broad Screen'!$I$42</x:f>
        <x:v>2</x:v>
      </x:c>
      <x:c r="G54" s="9" t="n">
        <x:f>'Broad Screen'!$Y$42</x:f>
        <x:v>4</x:v>
      </x:c>
      <x:c r="H54" s="9" t="n">
        <x:f>'Broad Screen'!$AI$42</x:f>
        <x:v>4</x:v>
      </x:c>
      <x:c r="I54" s="9" t="n">
        <x:f>'Broad Screen'!$AG$42</x:f>
        <x:v>2</x:v>
      </x:c>
      <x:c r="J54" s="9" t="n">
        <x:f>'Broad Screen'!$W$42</x:f>
        <x:v>3.5</x:v>
      </x:c>
      <x:c r="K54" s="9" t="n">
        <x:f>'Broad Screen'!$AE$42</x:f>
        <x:v>4</x:v>
      </x:c>
      <x:c r="L54" s="13" t="n">
        <x:f>'Broad Screen'!$AM$42</x:f>
        <x:v>39</x:v>
      </x:c>
      <x:c r="M54" s="9" t="n">
        <x:f>'Broad Screen'!$AO$42</x:f>
        <x:v>0</x:v>
      </x:c>
      <x:c r="N54" s="14" t="n">
        <x:f>'Broad Screen'!$AP$42</x:f>
        <x:v>2.142857142857143</x:v>
      </x:c>
      <x:c r="O54" s="9" t="n">
        <x:f>'Broad Screen'!$AR$42</x:f>
        <x:v>0</x:v>
      </x:c>
      <x:c r="P54" s="9" t="str">
        <x:v>Not proposed</x:v>
      </x:c>
      <x:c r="Q54" s="9" t="str"/>
    </x:row>
    <x:row r="55">
      <x:c r="A55" s="9" t="n">
        <x:v>54</x:v>
      </x:c>
      <x:c r="B55" s="9" t="str">
        <x:v>Stockport</x:v>
      </x:c>
      <x:c r="C55" s="13" t="n">
        <x:f>'Broad Screen'!$AK$50</x:f>
        <x:v>57.05882352941177</x:v>
      </x:c>
      <x:c r="D55" s="10" t="n">
        <x:f>'Broad Screen'!$K$50</x:f>
        <x:v>165000</x:v>
      </x:c>
      <x:c r="E55" s="9" t="n">
        <x:f>'Broad Screen'!$N$50</x:f>
        <x:v>1</x:v>
      </x:c>
      <x:c r="F55" s="9" t="n">
        <x:f>'Broad Screen'!$I$50</x:f>
        <x:v>0</x:v>
      </x:c>
      <x:c r="G55" s="9" t="n">
        <x:f>'Broad Screen'!$Y$50</x:f>
        <x:v>4</x:v>
      </x:c>
      <x:c r="H55" s="9" t="n">
        <x:f>'Broad Screen'!$AI$50</x:f>
        <x:v>4</x:v>
      </x:c>
      <x:c r="I55" s="9" t="n">
        <x:f>'Broad Screen'!$AG$50</x:f>
        <x:v>2</x:v>
      </x:c>
      <x:c r="J55" s="9" t="n">
        <x:f>'Broad Screen'!$W$50</x:f>
        <x:v>2.5</x:v>
      </x:c>
      <x:c r="K55" s="9" t="n">
        <x:f>'Broad Screen'!$AE$50</x:f>
        <x:v>4</x:v>
      </x:c>
      <x:c r="L55" s="13" t="n">
        <x:f>'Broad Screen'!$AM$50</x:f>
        <x:v>41.25</x:v>
      </x:c>
      <x:c r="M55" s="9" t="n">
        <x:f>'Broad Screen'!$AO$50</x:f>
        <x:v>0</x:v>
      </x:c>
      <x:c r="N55" s="14" t="n">
        <x:f>'Broad Screen'!$AP$50</x:f>
        <x:v>2.142857142857143</x:v>
      </x:c>
      <x:c r="O55" s="9" t="n">
        <x:f>'Broad Screen'!$AR$50</x:f>
        <x:v>1</x:v>
      </x:c>
      <x:c r="P55" s="9" t="str">
        <x:v>Not proposed</x:v>
      </x:c>
      <x:c r="Q55" s="9" t="str"/>
    </x:row>
    <x:row r="56">
      <x:c r="A56" s="9" t="n">
        <x:v>55</x:v>
      </x:c>
      <x:c r="B56" s="9" t="str">
        <x:v>Blackburn</x:v>
      </x:c>
      <x:c r="C56" s="13" t="n">
        <x:f>'Broad Screen'!$AK$4</x:f>
        <x:v>57</x:v>
      </x:c>
      <x:c r="D56" s="10" t="n">
        <x:f>'Broad Screen'!$K$4</x:f>
        <x:v>110000</x:v>
      </x:c>
      <x:c r="E56" s="9" t="n">
        <x:f>'Broad Screen'!$N$4</x:f>
        <x:v>5</x:v>
      </x:c>
      <x:c r="F56" s="9" t="n">
        <x:f>'Broad Screen'!$I$4</x:f>
        <x:v>3</x:v>
      </x:c>
      <x:c r="G56" s="9" t="n">
        <x:f>'Broad Screen'!$Y$4</x:f>
        <x:v>3</x:v>
      </x:c>
      <x:c r="H56" s="9" t="n">
        <x:f>'Broad Screen'!$AI$4</x:f>
        <x:v>2</x:v>
      </x:c>
      <x:c r="I56" s="9" t="n">
        <x:f>'Broad Screen'!$AG$4</x:f>
        <x:v>3</x:v>
      </x:c>
      <x:c r="J56" s="9" t="n">
        <x:f>'Broad Screen'!$W$4</x:f>
        <x:v>1</x:v>
      </x:c>
      <x:c r="K56" s="9" t="n">
        <x:f>'Broad Screen'!$AE$4</x:f>
        <x:v>3</x:v>
      </x:c>
      <x:c r="L56" s="13" t="n">
        <x:f>'Broad Screen'!$AM$4</x:f>
        <x:v>48</x:v>
      </x:c>
      <x:c r="M56" s="9" t="n">
        <x:f>'Broad Screen'!$AO$4</x:f>
        <x:v>0</x:v>
      </x:c>
      <x:c r="N56" s="14" t="n">
        <x:f>'Broad Screen'!$AP$4</x:f>
        <x:v>2</x:v>
      </x:c>
      <x:c r="O56" s="9" t="n">
        <x:f>'Broad Screen'!$AR$4</x:f>
        <x:v>0</x:v>
      </x:c>
      <x:c r="P56" s="9" t="str">
        <x:v>Not proposed</x:v>
      </x:c>
      <x:c r="Q56" s="9" t="str"/>
    </x:row>
    <x:row r="57">
      <x:c r="A57" s="9" t="n">
        <x:v>56</x:v>
      </x:c>
      <x:c r="B57" s="9" t="str">
        <x:v>Burnley</x:v>
      </x:c>
      <x:c r="C57" s="13" t="n">
        <x:f>'Broad Screen'!$AK$8</x:f>
        <x:v>57</x:v>
      </x:c>
      <x:c r="D57" s="10" t="n">
        <x:f>'Broad Screen'!$K$8</x:f>
        <x:v>88625</x:v>
      </x:c>
      <x:c r="E57" s="9" t="n">
        <x:f>'Broad Screen'!$N$8</x:f>
        <x:v>5</x:v>
      </x:c>
      <x:c r="F57" s="9" t="n">
        <x:f>'Broad Screen'!$I$8</x:f>
        <x:v>3</x:v>
      </x:c>
      <x:c r="G57" s="9" t="n">
        <x:f>'Broad Screen'!$Y$8</x:f>
        <x:v>3</x:v>
      </x:c>
      <x:c r="H57" s="9" t="n">
        <x:f>'Broad Screen'!$AI$8</x:f>
        <x:v>2</x:v>
      </x:c>
      <x:c r="I57" s="9" t="n">
        <x:f>'Broad Screen'!$AG$8</x:f>
        <x:v>3</x:v>
      </x:c>
      <x:c r="J57" s="9" t="n">
        <x:f>'Broad Screen'!$W$8</x:f>
        <x:v>1</x:v>
      </x:c>
      <x:c r="K57" s="9" t="n">
        <x:f>'Broad Screen'!$AE$8</x:f>
        <x:v>3</x:v>
      </x:c>
      <x:c r="L57" s="13" t="n">
        <x:f>'Broad Screen'!$AM$8</x:f>
        <x:v>48</x:v>
      </x:c>
      <x:c r="M57" s="9" t="n">
        <x:f>'Broad Screen'!$AO$8</x:f>
        <x:v>0</x:v>
      </x:c>
      <x:c r="N57" s="14" t="n">
        <x:f>'Broad Screen'!$AP$8</x:f>
        <x:v>1.8571428571428572</x:v>
      </x:c>
      <x:c r="O57" s="9" t="n">
        <x:f>'Broad Screen'!$AR$8</x:f>
        <x:v>0</x:v>
      </x:c>
      <x:c r="P57" s="9" t="str">
        <x:v>Not proposed</x:v>
      </x:c>
      <x:c r="Q57" s="9" t="str"/>
    </x:row>
    <x:row r="58">
      <x:c r="A58" s="9" t="n">
        <x:v>57</x:v>
      </x:c>
      <x:c r="B58" s="9" t="str">
        <x:v>Hartlepool</x:v>
      </x:c>
      <x:c r="C58" s="13" t="n">
        <x:f>'Broad Screen'!$AK$20</x:f>
        <x:v>56.5</x:v>
      </x:c>
      <x:c r="D58" s="10" t="n">
        <x:f>'Broad Screen'!$K$20</x:f>
        <x:v>83014</x:v>
      </x:c>
      <x:c r="E58" s="9" t="n">
        <x:f>'Broad Screen'!$N$20</x:f>
        <x:v>5</x:v>
      </x:c>
      <x:c r="F58" s="9" t="n">
        <x:f>'Broad Screen'!$I$20</x:f>
        <x:v>3</x:v>
      </x:c>
      <x:c r="G58" s="9" t="n">
        <x:f>'Broad Screen'!$Y$20</x:f>
        <x:v>3</x:v>
      </x:c>
      <x:c r="H58" s="9" t="n">
        <x:f>'Broad Screen'!$AI$20</x:f>
        <x:v>2</x:v>
      </x:c>
      <x:c r="I58" s="9" t="n">
        <x:f>'Broad Screen'!$AG$20</x:f>
        <x:v>3</x:v>
      </x:c>
      <x:c r="J58" s="9" t="n">
        <x:f>'Broad Screen'!$W$20</x:f>
        <x:v>1.5</x:v>
      </x:c>
      <x:c r="K58" s="9" t="n">
        <x:f>'Broad Screen'!$AE$20</x:f>
        <x:v>2</x:v>
      </x:c>
      <x:c r="L58" s="13" t="n">
        <x:f>'Broad Screen'!$AM$20</x:f>
        <x:v>48</x:v>
      </x:c>
      <x:c r="M58" s="9" t="n">
        <x:f>'Broad Screen'!$AO$20</x:f>
        <x:v>0</x:v>
      </x:c>
      <x:c r="N58" s="14" t="n">
        <x:f>'Broad Screen'!$AP$20</x:f>
        <x:v>2</x:v>
      </x:c>
      <x:c r="O58" s="9" t="n">
        <x:f>'Broad Screen'!$AR$20</x:f>
        <x:v>0</x:v>
      </x:c>
      <x:c r="P58" s="9" t="str">
        <x:v>Not proposed</x:v>
      </x:c>
      <x:c r="Q58" s="9" t="str"/>
    </x:row>
    <x:row r="59">
      <x:c r="A59" s="9" t="n">
        <x:v>58</x:v>
      </x:c>
      <x:c r="B59" s="9" t="str">
        <x:v>Newport</x:v>
      </x:c>
      <x:c r="C59" s="13" t="n">
        <x:f>'Broad Screen'!$AK$36</x:f>
        <x:v>56.5</x:v>
      </x:c>
      <x:c r="D59" s="10" t="n">
        <x:f>'Broad Screen'!$K$36</x:f>
        <x:v>128000</x:v>
      </x:c>
      <x:c r="E59" s="9" t="n">
        <x:f>'Broad Screen'!$N$36</x:f>
        <x:v>3</x:v>
      </x:c>
      <x:c r="F59" s="9" t="n">
        <x:f>'Broad Screen'!$I$36</x:f>
        <x:v>2</x:v>
      </x:c>
      <x:c r="G59" s="9" t="n">
        <x:f>'Broad Screen'!$Y$36</x:f>
        <x:v>4</x:v>
      </x:c>
      <x:c r="H59" s="9" t="n">
        <x:f>'Broad Screen'!$AI$36</x:f>
        <x:v>2</x:v>
      </x:c>
      <x:c r="I59" s="9" t="n">
        <x:f>'Broad Screen'!$AG$36</x:f>
        <x:v>2</x:v>
      </x:c>
      <x:c r="J59" s="9" t="n">
        <x:f>'Broad Screen'!$W$36</x:f>
        <x:v>2.5</x:v>
      </x:c>
      <x:c r="K59" s="9" t="n">
        <x:f>'Broad Screen'!$AE$36</x:f>
        <x:v>5</x:v>
      </x:c>
      <x:c r="L59" s="13" t="n">
        <x:f>'Broad Screen'!$AM$36</x:f>
        <x:v>39</x:v>
      </x:c>
      <x:c r="M59" s="9" t="n">
        <x:f>'Broad Screen'!$AO$36</x:f>
        <x:v>0</x:v>
      </x:c>
      <x:c r="N59" s="14" t="n">
        <x:f>'Broad Screen'!$AP$36</x:f>
        <x:v>2.142857142857143</x:v>
      </x:c>
      <x:c r="O59" s="9" t="n">
        <x:f>'Broad Screen'!$AR$36</x:f>
        <x:v>0</x:v>
      </x:c>
      <x:c r="P59" s="9" t="str">
        <x:v>Not proposed</x:v>
      </x:c>
      <x:c r="Q59" s="9" t="str"/>
    </x:row>
    <x:row r="60">
      <x:c r="A60" s="9" t="n">
        <x:v>59</x:v>
      </x:c>
      <x:c r="B60" s="9" t="str">
        <x:v>Swindon</x:v>
      </x:c>
      <x:c r="C60" s="13" t="n">
        <x:f>'Broad Screen'!$AK$55</x:f>
        <x:v>56.5</x:v>
      </x:c>
      <x:c r="D60" s="10" t="n">
        <x:f>'Broad Screen'!$K$55</x:f>
        <x:v>148500</x:v>
      </x:c>
      <x:c r="E60" s="9" t="n">
        <x:f>'Broad Screen'!$N$55</x:f>
        <x:v>1</x:v>
      </x:c>
      <x:c r="F60" s="9" t="n">
        <x:f>'Broad Screen'!$I$55</x:f>
        <x:v>2</x:v>
      </x:c>
      <x:c r="G60" s="9" t="n">
        <x:f>'Broad Screen'!$Y$55</x:f>
        <x:v>4</x:v>
      </x:c>
      <x:c r="H60" s="9" t="n">
        <x:f>'Broad Screen'!$AI$55</x:f>
        <x:v>3</x:v>
      </x:c>
      <x:c r="I60" s="9" t="n">
        <x:f>'Broad Screen'!$AG$55</x:f>
        <x:v>2</x:v>
      </x:c>
      <x:c r="J60" s="9" t="n">
        <x:f>'Broad Screen'!$W$55</x:f>
        <x:v>3.5</x:v>
      </x:c>
      <x:c r="K60" s="9" t="n">
        <x:f>'Broad Screen'!$AE$55</x:f>
        <x:v>5</x:v>
      </x:c>
      <x:c r="L60" s="13" t="n">
        <x:f>'Broad Screen'!$AM$55</x:f>
        <x:v>36</x:v>
      </x:c>
      <x:c r="M60" s="9" t="n">
        <x:f>'Broad Screen'!$AO$55</x:f>
        <x:v>0</x:v>
      </x:c>
      <x:c r="N60" s="14" t="n">
        <x:f>'Broad Screen'!$AP$55</x:f>
        <x:v>2</x:v>
      </x:c>
      <x:c r="O60" s="9" t="n">
        <x:f>'Broad Screen'!$AR$55</x:f>
        <x:v>0</x:v>
      </x:c>
      <x:c r="P60" s="9" t="str">
        <x:v>Not proposed</x:v>
      </x:c>
      <x:c r="Q60" s="9" t="str"/>
    </x:row>
    <x:row r="61">
      <x:c r="A61" s="9" t="n">
        <x:v>60</x:v>
      </x:c>
      <x:c r="B61" s="9" t="str">
        <x:v>Middlesbrough</x:v>
      </x:c>
      <x:c r="C61" s="13" t="n">
        <x:f>'Broad Screen'!$AK$33</x:f>
        <x:v>55.5</x:v>
      </x:c>
      <x:c r="D61" s="10" t="n">
        <x:f>'Broad Screen'!$K$33</x:f>
        <x:v>85000</x:v>
      </x:c>
      <x:c r="E61" s="9" t="n">
        <x:f>'Broad Screen'!$N$33</x:f>
        <x:v>5</x:v>
      </x:c>
      <x:c r="F61" s="9" t="n">
        <x:f>'Broad Screen'!$I$33</x:f>
        <x:v>2</x:v>
      </x:c>
      <x:c r="G61" s="9" t="n">
        <x:f>'Broad Screen'!$Y$33</x:f>
        <x:v>4</x:v>
      </x:c>
      <x:c r="H61" s="9" t="n">
        <x:f>'Broad Screen'!$AI$33</x:f>
        <x:v>2</x:v>
      </x:c>
      <x:c r="I61" s="9" t="n">
        <x:f>'Broad Screen'!$AG$33</x:f>
        <x:v>2</x:v>
      </x:c>
      <x:c r="J61" s="9" t="n">
        <x:f>'Broad Screen'!$W$33</x:f>
        <x:v>1.5</x:v>
      </x:c>
      <x:c r="K61" s="9" t="n">
        <x:f>'Broad Screen'!$AE$33</x:f>
        <x:v>3</x:v>
      </x:c>
      <x:c r="L61" s="13" t="n">
        <x:f>'Broad Screen'!$AM$33</x:f>
        <x:v>45</x:v>
      </x:c>
      <x:c r="M61" s="9" t="n">
        <x:f>'Broad Screen'!$AO$33</x:f>
        <x:v>0</x:v>
      </x:c>
      <x:c r="N61" s="14" t="n">
        <x:f>'Broad Screen'!$AP$33</x:f>
        <x:v>2</x:v>
      </x:c>
      <x:c r="O61" s="9" t="n">
        <x:f>'Broad Screen'!$AR$33</x:f>
        <x:v>0</x:v>
      </x:c>
      <x:c r="P61" s="9" t="str">
        <x:v>Not proposed</x:v>
      </x:c>
      <x:c r="Q61" s="9" t="str"/>
    </x:row>
    <x:row r="62">
      <x:c r="A62" s="9" t="n">
        <x:v>61</x:v>
      </x:c>
      <x:c r="B62" s="9" t="str">
        <x:v>Newcastle upon Tyne</x:v>
      </x:c>
      <x:c r="C62" s="13" t="n">
        <x:f>'Broad Screen'!$AK$35</x:f>
        <x:v>55.5</x:v>
      </x:c>
      <x:c r="D62" s="10" t="n">
        <x:f>'Broad Screen'!$K$35</x:f>
        <x:v>139950</x:v>
      </x:c>
      <x:c r="E62" s="9" t="n">
        <x:f>'Broad Screen'!$N$35</x:f>
        <x:v>1</x:v>
      </x:c>
      <x:c r="F62" s="9" t="n">
        <x:f>'Broad Screen'!$I$35</x:f>
        <x:v>1</x:v>
      </x:c>
      <x:c r="G62" s="9" t="n">
        <x:f>'Broad Screen'!$Y$35</x:f>
        <x:v>5</x:v>
      </x:c>
      <x:c r="H62" s="9" t="n">
        <x:f>'Broad Screen'!$AI$35</x:f>
        <x:v>4</x:v>
      </x:c>
      <x:c r="I62" s="9" t="n">
        <x:f>'Broad Screen'!$AG$35</x:f>
        <x:v>2</x:v>
      </x:c>
      <x:c r="J62" s="9" t="n">
        <x:f>'Broad Screen'!$W$35</x:f>
        <x:v>3.5</x:v>
      </x:c>
      <x:c r="K62" s="9" t="n">
        <x:f>'Broad Screen'!$AE$35</x:f>
        <x:v>3</x:v>
      </x:c>
      <x:c r="L62" s="13" t="n">
        <x:f>'Broad Screen'!$AM$35</x:f>
        <x:v>39</x:v>
      </x:c>
      <x:c r="M62" s="9" t="n">
        <x:f>'Broad Screen'!$AO$35</x:f>
        <x:v>1</x:v>
      </x:c>
      <x:c r="N62" s="14" t="n">
        <x:f>'Broad Screen'!$AP$35</x:f>
        <x:v>2.2857142857142856</x:v>
      </x:c>
      <x:c r="O62" s="9" t="n">
        <x:f>'Broad Screen'!$AR$35</x:f>
        <x:v>0</x:v>
      </x:c>
      <x:c r="P62" s="9" t="str">
        <x:v>Not proposed</x:v>
      </x:c>
      <x:c r="Q62" s="9" t="str"/>
    </x:row>
    <x:row r="63">
      <x:c r="A63" s="9" t="n">
        <x:v>62</x:v>
      </x:c>
      <x:c r="B63" s="9" t="str">
        <x:v>Plymouth</x:v>
      </x:c>
      <x:c r="C63" s="13" t="n">
        <x:f>'Broad Screen'!$AK$41</x:f>
        <x:v>53.5</x:v>
      </x:c>
      <x:c r="D63" s="10" t="n">
        <x:f>'Broad Screen'!$K$41</x:f>
        <x:v>138500</x:v>
      </x:c>
      <x:c r="E63" s="9" t="n">
        <x:f>'Broad Screen'!$N$41</x:f>
        <x:v>1</x:v>
      </x:c>
      <x:c r="F63" s="9" t="n">
        <x:f>'Broad Screen'!$I$41</x:f>
        <x:v>1</x:v>
      </x:c>
      <x:c r="G63" s="9" t="n">
        <x:f>'Broad Screen'!$Y$41</x:f>
        <x:v>4</x:v>
      </x:c>
      <x:c r="H63" s="9" t="n">
        <x:f>'Broad Screen'!$AI$41</x:f>
        <x:v>4</x:v>
      </x:c>
      <x:c r="I63" s="9" t="n">
        <x:f>'Broad Screen'!$AG$41</x:f>
        <x:v>3</x:v>
      </x:c>
      <x:c r="J63" s="9" t="n">
        <x:f>'Broad Screen'!$W$41</x:f>
        <x:v>3.5</x:v>
      </x:c>
      <x:c r="K63" s="9" t="n">
        <x:f>'Broad Screen'!$AE$41</x:f>
        <x:v>2</x:v>
      </x:c>
      <x:c r="L63" s="13" t="n">
        <x:f>'Broad Screen'!$AM$41</x:f>
        <x:v>39</x:v>
      </x:c>
      <x:c r="M63" s="9" t="n">
        <x:f>'Broad Screen'!$AO$41</x:f>
        <x:v>1</x:v>
      </x:c>
      <x:c r="N63" s="14" t="n">
        <x:f>'Broad Screen'!$AP$41</x:f>
        <x:v>2.142857142857143</x:v>
      </x:c>
      <x:c r="O63" s="9" t="n">
        <x:f>'Broad Screen'!$AR$41</x:f>
        <x:v>0</x:v>
      </x:c>
      <x:c r="P63" s="9" t="str">
        <x:v>Not proposed</x:v>
      </x:c>
      <x:c r="Q63" s="9" t="str"/>
    </x:row>
    <x:row r="64">
      <x:c r="A64" s="9" t="n">
        <x:v>63</x:v>
      </x:c>
      <x:c r="B64" s="9" t="str">
        <x:v>Northampton</x:v>
      </x:c>
      <x:c r="C64" s="13" t="n">
        <x:f>'Broad Screen'!$AK$37</x:f>
        <x:v>53.5</x:v>
      </x:c>
      <x:c r="D64" s="10" t="n">
        <x:f>'Broad Screen'!$K$37</x:f>
        <x:v>150000</x:v>
      </x:c>
      <x:c r="E64" s="9" t="n">
        <x:f>'Broad Screen'!$N$37</x:f>
        <x:v>1</x:v>
      </x:c>
      <x:c r="F64" s="9" t="n">
        <x:f>'Broad Screen'!$I$37</x:f>
        <x:v>1</x:v>
      </x:c>
      <x:c r="G64" s="9" t="n">
        <x:f>'Broad Screen'!$Y$37</x:f>
        <x:v>4</x:v>
      </x:c>
      <x:c r="H64" s="9" t="n">
        <x:f>'Broad Screen'!$AI$37</x:f>
        <x:v>3</x:v>
      </x:c>
      <x:c r="I64" s="9" t="n">
        <x:f>'Broad Screen'!$AG$37</x:f>
        <x:v>2</x:v>
      </x:c>
      <x:c r="J64" s="9" t="n">
        <x:f>'Broad Screen'!$W$37</x:f>
        <x:v>3.5</x:v>
      </x:c>
      <x:c r="K64" s="9" t="n">
        <x:f>'Broad Screen'!$AE$37</x:f>
        <x:v>5</x:v>
      </x:c>
      <x:c r="L64" s="13" t="n">
        <x:f>'Broad Screen'!$AM$37</x:f>
        <x:v>33</x:v>
      </x:c>
      <x:c r="M64" s="9" t="n">
        <x:f>'Broad Screen'!$AO$37</x:f>
        <x:v>1</x:v>
      </x:c>
      <x:c r="N64" s="14" t="n">
        <x:f>'Broad Screen'!$AP$37</x:f>
        <x:v>2</x:v>
      </x:c>
      <x:c r="O64" s="9" t="n">
        <x:f>'Broad Screen'!$AR$37</x:f>
        <x:v>0</x:v>
      </x:c>
      <x:c r="P64" s="9" t="str">
        <x:v>Not proposed</x:v>
      </x:c>
      <x:c r="Q64" s="9" t="str"/>
    </x:row>
  </x:sheetData>
  <x:conditionalFormatting sqref="C2:C64">
    <x:cfRule type="colorScale" priority="1">
      <x:colorScale>
        <x:cfvo type="min"/>
        <x:cfvo type="percentile" val="50"/>
        <x:cfvo type="max"/>
        <x:color rgb="FFB44B4B"/>
        <x:color rgb="FFF4E4A6"/>
        <x:color rgb="FF69A98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feaf4b7b19e43a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34" customHeight="1">
      <x:c r="A1" s="7" t="str">
        <x:v>Rank</x:v>
      </x:c>
      <x:c r="B1" s="7" t="str">
        <x:v>Location</x:v>
      </x:c>
      <x:c r="C1" s="7" t="str">
        <x:v>Screen score /100</x:v>
      </x:c>
      <x:c r="D1" s="7" t="str">
        <x:v>One-bed modelled rent pcm</x:v>
      </x:c>
      <x:c r="E1" s="7" t="str">
        <x:v>Affordability</x:v>
      </x:c>
      <x:c r="F1" s="7" t="str">
        <x:v>Safety</x:v>
      </x:c>
      <x:c r="G1" s="7" t="str">
        <x:v>Local transport</x:v>
      </x:c>
      <x:c r="H1" s="7" t="str">
        <x:v>Condition</x:v>
      </x:c>
      <x:c r="I1" s="7" t="str">
        <x:v>Quiet</x:v>
      </x:c>
      <x:c r="J1" s="7" t="str">
        <x:v>Stock</x:v>
      </x:c>
      <x:c r="K1" s="7" t="str">
        <x:v>National transport</x:v>
      </x:c>
      <x:c r="L1" s="7" t="str">
        <x:v>Priority subtotal /75</x:v>
      </x:c>
      <x:c r="M1" s="7" t="str">
        <x:v>Serious weaknesses</x:v>
      </x:c>
      <x:c r="N1" s="7" t="str">
        <x:v>Confidence /3</x:v>
      </x:c>
      <x:c r="O1" s="7" t="str">
        <x:v>Unknowns</x:v>
      </x:c>
      <x:c r="P1" s="7" t="str">
        <x:v>Shortlist</x:v>
      </x:c>
      <x:c r="Q1" s="7" t="str">
        <x:v>Qualified via</x:v>
      </x:c>
    </x:row>
    <x:row r="2">
      <x:c r="A2" s="9" t="n">
        <x:v>1</x:v>
      </x:c>
      <x:c r="B2" s="9" t="str">
        <x:v>Shrewsbury</x:v>
      </x:c>
      <x:c r="C2" s="13" t="n">
        <x:f>'Broad Screen'!$AL$47</x:f>
        <x:v>75.5</x:v>
      </x:c>
      <x:c r="D2" s="10" t="n">
        <x:f>'Broad Screen'!$O$47</x:f>
        <x:v>605</x:v>
      </x:c>
      <x:c r="E2" s="9" t="n">
        <x:f>'Broad Screen'!$Q$47</x:f>
        <x:v>3</x:v>
      </x:c>
      <x:c r="F2" s="9" t="n">
        <x:f>'Broad Screen'!$I$47</x:f>
        <x:v>5</x:v>
      </x:c>
      <x:c r="G2" s="9" t="n">
        <x:f>'Broad Screen'!$Y$47</x:f>
        <x:v>3</x:v>
      </x:c>
      <x:c r="H2" s="9" t="n">
        <x:f>'Broad Screen'!$AI$47</x:f>
        <x:v>5</x:v>
      </x:c>
      <x:c r="I2" s="9" t="n">
        <x:f>'Broad Screen'!$AG$47</x:f>
        <x:v>4</x:v>
      </x:c>
      <x:c r="J2" s="9" t="n">
        <x:f>'Broad Screen'!$X$47</x:f>
        <x:v>2.5</x:v>
      </x:c>
      <x:c r="K2" s="9" t="n">
        <x:f>'Broad Screen'!$AE$47</x:f>
        <x:v>4</x:v>
      </x:c>
      <x:c r="L2" s="13" t="n">
        <x:f>'Broad Screen'!$AN$47</x:f>
        <x:v>60</x:v>
      </x:c>
      <x:c r="M2" s="9" t="n">
        <x:f>'Broad Screen'!$AO$47</x:f>
        <x:v>0</x:v>
      </x:c>
      <x:c r="N2" s="14" t="n">
        <x:f>'Broad Screen'!$AQ$47</x:f>
        <x:v>2</x:v>
      </x:c>
      <x:c r="O2" s="9" t="n">
        <x:f>'Broad Screen'!$AS$47</x:f>
        <x:v>0</x:v>
      </x:c>
      <x:c r="P2" s="9" t="str">
        <x:v>Proposed</x:v>
      </x:c>
      <x:c r="Q2" s="9" t="str">
        <x:v>Both</x:v>
      </x:c>
    </x:row>
    <x:row r="3">
      <x:c r="A3" s="9" t="n">
        <x:v>2</x:v>
      </x:c>
      <x:c r="B3" s="9" t="str">
        <x:v>Chesterfield</x:v>
      </x:c>
      <x:c r="C3" s="13" t="n">
        <x:f>'Broad Screen'!$AL$12</x:f>
        <x:v>74.5</x:v>
      </x:c>
      <x:c r="D3" s="10" t="n">
        <x:f>'Broad Screen'!$O$12</x:f>
        <x:v>538</x:v>
      </x:c>
      <x:c r="E3" s="9" t="n">
        <x:f>'Broad Screen'!$Q$12</x:f>
        <x:v>5</x:v>
      </x:c>
      <x:c r="F3" s="9" t="n">
        <x:f>'Broad Screen'!$I$12</x:f>
        <x:v>4</x:v>
      </x:c>
      <x:c r="G3" s="9" t="n">
        <x:f>'Broad Screen'!$Y$12</x:f>
        <x:v>3</x:v>
      </x:c>
      <x:c r="H3" s="9" t="n">
        <x:f>'Broad Screen'!$AI$12</x:f>
        <x:v>4</x:v>
      </x:c>
      <x:c r="I3" s="9" t="n">
        <x:f>'Broad Screen'!$AG$12</x:f>
        <x:v>3</x:v>
      </x:c>
      <x:c r="J3" s="9" t="n">
        <x:f>'Broad Screen'!$X$12</x:f>
        <x:v>2.5</x:v>
      </x:c>
      <x:c r="K3" s="9" t="n">
        <x:f>'Broad Screen'!$AE$12</x:f>
        <x:v>5</x:v>
      </x:c>
      <x:c r="L3" s="13" t="n">
        <x:f>'Broad Screen'!$AN$12</x:f>
        <x:v>57</x:v>
      </x:c>
      <x:c r="M3" s="9" t="n">
        <x:f>'Broad Screen'!$AO$12</x:f>
        <x:v>0</x:v>
      </x:c>
      <x:c r="N3" s="14" t="n">
        <x:f>'Broad Screen'!$AQ$12</x:f>
        <x:v>2</x:v>
      </x:c>
      <x:c r="O3" s="9" t="n">
        <x:f>'Broad Screen'!$AS$12</x:f>
        <x:v>0</x:v>
      </x:c>
      <x:c r="P3" s="9" t="str">
        <x:v>Proposed</x:v>
      </x:c>
      <x:c r="Q3" s="9" t="str">
        <x:v>Rent</x:v>
      </x:c>
    </x:row>
    <x:row r="4">
      <x:c r="A4" s="9" t="n">
        <x:v>3</x:v>
      </x:c>
      <x:c r="B4" s="9" t="str">
        <x:v>Chester</x:v>
      </x:c>
      <x:c r="C4" s="13" t="n">
        <x:f>'Broad Screen'!$AL$11</x:f>
        <x:v>72.5</x:v>
      </x:c>
      <x:c r="D4" s="10" t="n">
        <x:f>'Broad Screen'!$O$11</x:f>
        <x:v>721</x:v>
      </x:c>
      <x:c r="E4" s="9" t="n">
        <x:f>'Broad Screen'!$Q$11</x:f>
        <x:v>1</x:v>
      </x:c>
      <x:c r="F4" s="9" t="n">
        <x:f>'Broad Screen'!$I$11</x:f>
        <x:v>5</x:v>
      </x:c>
      <x:c r="G4" s="9" t="n">
        <x:f>'Broad Screen'!$Y$11</x:f>
        <x:v>4</x:v>
      </x:c>
      <x:c r="H4" s="9" t="n">
        <x:f>'Broad Screen'!$AI$11</x:f>
        <x:v>5</x:v>
      </x:c>
      <x:c r="I4" s="9" t="n">
        <x:f>'Broad Screen'!$AG$11</x:f>
        <x:v>4</x:v>
      </x:c>
      <x:c r="J4" s="9" t="n">
        <x:f>'Broad Screen'!$X$11</x:f>
        <x:v>2.5</x:v>
      </x:c>
      <x:c r="K4" s="9" t="n">
        <x:f>'Broad Screen'!$AE$11</x:f>
        <x:v>4</x:v>
      </x:c>
      <x:c r="L4" s="13" t="n">
        <x:f>'Broad Screen'!$AN$11</x:f>
        <x:v>57</x:v>
      </x:c>
      <x:c r="M4" s="9" t="n">
        <x:f>'Broad Screen'!$AO$11</x:f>
        <x:v>0</x:v>
      </x:c>
      <x:c r="N4" s="14" t="n">
        <x:f>'Broad Screen'!$AQ$11</x:f>
        <x:v>2</x:v>
      </x:c>
      <x:c r="O4" s="9" t="n">
        <x:f>'Broad Screen'!$AS$11</x:f>
        <x:v>0</x:v>
      </x:c>
      <x:c r="P4" s="9" t="str">
        <x:v>Proposed</x:v>
      </x:c>
      <x:c r="Q4" s="9" t="str">
        <x:v>Both</x:v>
      </x:c>
    </x:row>
    <x:row r="5">
      <x:c r="A5" s="9" t="n">
        <x:v>4</x:v>
      </x:c>
      <x:c r="B5" s="9" t="str">
        <x:v>Stafford</x:v>
      </x:c>
      <x:c r="C5" s="13" t="n">
        <x:f>'Broad Screen'!$AL$49</x:f>
        <x:v>71.5</x:v>
      </x:c>
      <x:c r="D5" s="10" t="n">
        <x:f>'Broad Screen'!$O$49</x:f>
        <x:v>629</x:v>
      </x:c>
      <x:c r="E5" s="9" t="n">
        <x:f>'Broad Screen'!$Q$49</x:f>
        <x:v>3</x:v>
      </x:c>
      <x:c r="F5" s="9" t="n">
        <x:f>'Broad Screen'!$I$49</x:f>
        <x:v>5</x:v>
      </x:c>
      <x:c r="G5" s="9" t="n">
        <x:f>'Broad Screen'!$Y$49</x:f>
        <x:v>3</x:v>
      </x:c>
      <x:c r="H5" s="9" t="n">
        <x:f>'Broad Screen'!$AI$49</x:f>
        <x:v>4</x:v>
      </x:c>
      <x:c r="I5" s="9" t="n">
        <x:f>'Broad Screen'!$AG$49</x:f>
        <x:v>4</x:v>
      </x:c>
      <x:c r="J5" s="9" t="n">
        <x:f>'Broad Screen'!$X$49</x:f>
        <x:v>1.5</x:v>
      </x:c>
      <x:c r="K5" s="9" t="n">
        <x:f>'Broad Screen'!$AE$49</x:f>
        <x:v>5</x:v>
      </x:c>
      <x:c r="L5" s="13" t="n">
        <x:f>'Broad Screen'!$AN$49</x:f>
        <x:v>57</x:v>
      </x:c>
      <x:c r="M5" s="9" t="n">
        <x:f>'Broad Screen'!$AO$49</x:f>
        <x:v>0</x:v>
      </x:c>
      <x:c r="N5" s="14" t="n">
        <x:f>'Broad Screen'!$AQ$49</x:f>
        <x:v>2</x:v>
      </x:c>
      <x:c r="O5" s="9" t="n">
        <x:f>'Broad Screen'!$AS$49</x:f>
        <x:v>0</x:v>
      </x:c>
      <x:c r="P5" s="9" t="str">
        <x:v>Proposed</x:v>
      </x:c>
      <x:c r="Q5" s="9" t="str">
        <x:v>Both</x:v>
      </x:c>
    </x:row>
    <x:row r="6">
      <x:c r="A6" s="9" t="n">
        <x:v>5</x:v>
      </x:c>
      <x:c r="B6" s="9" t="str">
        <x:v>Halifax</x:v>
      </x:c>
      <x:c r="C6" s="13" t="n">
        <x:f>'Broad Screen'!$AL$19</x:f>
        <x:v>70.5</x:v>
      </x:c>
      <x:c r="D6" s="10" t="n">
        <x:f>'Broad Screen'!$O$19</x:f>
        <x:v>546</x:v>
      </x:c>
      <x:c r="E6" s="9" t="n">
        <x:f>'Broad Screen'!$Q$19</x:f>
        <x:v>5</x:v>
      </x:c>
      <x:c r="F6" s="9" t="n">
        <x:f>'Broad Screen'!$I$19</x:f>
        <x:v>4</x:v>
      </x:c>
      <x:c r="G6" s="9" t="n">
        <x:f>'Broad Screen'!$Y$19</x:f>
        <x:v>4</x:v>
      </x:c>
      <x:c r="H6" s="9" t="n">
        <x:f>'Broad Screen'!$AI$19</x:f>
        <x:v>3</x:v>
      </x:c>
      <x:c r="I6" s="9" t="n">
        <x:f>'Broad Screen'!$AG$19</x:f>
        <x:v>3</x:v>
      </x:c>
      <x:c r="J6" s="9" t="n">
        <x:f>'Broad Screen'!$X$19</x:f>
        <x:v>2.5</x:v>
      </x:c>
      <x:c r="K6" s="9" t="n">
        <x:f>'Broad Screen'!$AE$19</x:f>
        <x:v>3</x:v>
      </x:c>
      <x:c r="L6" s="13" t="n">
        <x:f>'Broad Screen'!$AN$19</x:f>
        <x:v>57</x:v>
      </x:c>
      <x:c r="M6" s="9" t="n">
        <x:f>'Broad Screen'!$AO$19</x:f>
        <x:v>0</x:v>
      </x:c>
      <x:c r="N6" s="14" t="n">
        <x:f>'Broad Screen'!$AQ$19</x:f>
        <x:v>2</x:v>
      </x:c>
      <x:c r="O6" s="9" t="n">
        <x:f>'Broad Screen'!$AS$19</x:f>
        <x:v>0</x:v>
      </x:c>
      <x:c r="P6" s="9" t="str">
        <x:v>Proposed</x:v>
      </x:c>
      <x:c r="Q6" s="9" t="str">
        <x:v>Rent</x:v>
      </x:c>
    </x:row>
    <x:row r="7">
      <x:c r="A7" s="9" t="n">
        <x:v>6</x:v>
      </x:c>
      <x:c r="B7" s="9" t="str">
        <x:v>Hull (Kingston upon Hull)</x:v>
      </x:c>
      <x:c r="C7" s="13" t="n">
        <x:f>'Broad Screen'!$AL$22</x:f>
        <x:v>70.5</x:v>
      </x:c>
      <x:c r="D7" s="10" t="n">
        <x:f>'Broad Screen'!$O$22</x:f>
        <x:v>498</x:v>
      </x:c>
      <x:c r="E7" s="9" t="n">
        <x:f>'Broad Screen'!$Q$22</x:f>
        <x:v>5</x:v>
      </x:c>
      <x:c r="F7" s="9" t="n">
        <x:f>'Broad Screen'!$I$22</x:f>
        <x:v>4</x:v>
      </x:c>
      <x:c r="G7" s="9" t="n">
        <x:f>'Broad Screen'!$Y$22</x:f>
        <x:v>4</x:v>
      </x:c>
      <x:c r="H7" s="9" t="n">
        <x:f>'Broad Screen'!$AI$22</x:f>
        <x:v>3</x:v>
      </x:c>
      <x:c r="I7" s="9" t="n">
        <x:f>'Broad Screen'!$AG$22</x:f>
        <x:v>2</x:v>
      </x:c>
      <x:c r="J7" s="9" t="n">
        <x:f>'Broad Screen'!$X$22</x:f>
        <x:v>3.5</x:v>
      </x:c>
      <x:c r="K7" s="9" t="n">
        <x:f>'Broad Screen'!$AE$22</x:f>
        <x:v>3</x:v>
      </x:c>
      <x:c r="L7" s="13" t="n">
        <x:f>'Broad Screen'!$AN$22</x:f>
        <x:v>54</x:v>
      </x:c>
      <x:c r="M7" s="9" t="n">
        <x:f>'Broad Screen'!$AO$22</x:f>
        <x:v>0</x:v>
      </x:c>
      <x:c r="N7" s="14" t="n">
        <x:f>'Broad Screen'!$AQ$22</x:f>
        <x:v>1.8571428571428572</x:v>
      </x:c>
      <x:c r="O7" s="9" t="n">
        <x:f>'Broad Screen'!$AS$22</x:f>
        <x:v>0</x:v>
      </x:c>
      <x:c r="P7" s="9" t="str">
        <x:v>Proposed</x:v>
      </x:c>
      <x:c r="Q7" s="9" t="str">
        <x:v>Both</x:v>
      </x:c>
    </x:row>
    <x:row r="8">
      <x:c r="A8" s="9" t="n">
        <x:v>7</x:v>
      </x:c>
      <x:c r="B8" s="9" t="str">
        <x:v>Wakefield</x:v>
      </x:c>
      <x:c r="C8" s="13" t="n">
        <x:f>'Broad Screen'!$AL$58</x:f>
        <x:v>69.5</x:v>
      </x:c>
      <x:c r="D8" s="10" t="n">
        <x:f>'Broad Screen'!$O$58</x:f>
        <x:v>572</x:v>
      </x:c>
      <x:c r="E8" s="9" t="n">
        <x:f>'Broad Screen'!$Q$58</x:f>
        <x:v>5</x:v>
      </x:c>
      <x:c r="F8" s="9" t="n">
        <x:f>'Broad Screen'!$I$58</x:f>
        <x:v>4</x:v>
      </x:c>
      <x:c r="G8" s="9" t="n">
        <x:f>'Broad Screen'!$Y$58</x:f>
        <x:v>4</x:v>
      </x:c>
      <x:c r="H8" s="9" t="n">
        <x:f>'Broad Screen'!$AI$58</x:f>
        <x:v>3</x:v>
      </x:c>
      <x:c r="I8" s="9" t="n">
        <x:f>'Broad Screen'!$AG$58</x:f>
        <x:v>2</x:v>
      </x:c>
      <x:c r="J8" s="9" t="n">
        <x:f>'Broad Screen'!$X$58</x:f>
        <x:v>2.5</x:v>
      </x:c>
      <x:c r="K8" s="9" t="n">
        <x:f>'Broad Screen'!$AE$58</x:f>
        <x:v>4</x:v>
      </x:c>
      <x:c r="L8" s="13" t="n">
        <x:f>'Broad Screen'!$AN$58</x:f>
        <x:v>54</x:v>
      </x:c>
      <x:c r="M8" s="9" t="n">
        <x:f>'Broad Screen'!$AO$58</x:f>
        <x:v>0</x:v>
      </x:c>
      <x:c r="N8" s="14" t="n">
        <x:f>'Broad Screen'!$AQ$58</x:f>
        <x:v>2</x:v>
      </x:c>
      <x:c r="O8" s="9" t="n">
        <x:f>'Broad Screen'!$AS$58</x:f>
        <x:v>0</x:v>
      </x:c>
      <x:c r="P8" s="9" t="str">
        <x:v>Proposed</x:v>
      </x:c>
      <x:c r="Q8" s="9" t="str">
        <x:v>Rent</x:v>
      </x:c>
    </x:row>
    <x:row r="9">
      <x:c r="A9" s="9" t="n">
        <x:v>8</x:v>
      </x:c>
      <x:c r="B9" s="9" t="str">
        <x:v>Sheffield</x:v>
      </x:c>
      <x:c r="C9" s="13" t="n">
        <x:f>'Broad Screen'!$AL$46</x:f>
        <x:v>69.5</x:v>
      </x:c>
      <x:c r="D9" s="10" t="n">
        <x:f>'Broad Screen'!$O$46</x:f>
        <x:v>689</x:v>
      </x:c>
      <x:c r="E9" s="9" t="n">
        <x:f>'Broad Screen'!$Q$46</x:f>
        <x:v>3</x:v>
      </x:c>
      <x:c r="F9" s="9" t="n">
        <x:f>'Broad Screen'!$I$46</x:f>
        <x:v>1</x:v>
      </x:c>
      <x:c r="G9" s="9" t="n">
        <x:f>'Broad Screen'!$Y$46</x:f>
        <x:v>5</x:v>
      </x:c>
      <x:c r="H9" s="9" t="n">
        <x:f>'Broad Screen'!$AI$46</x:f>
        <x:v>4</x:v>
      </x:c>
      <x:c r="I9" s="9" t="n">
        <x:f>'Broad Screen'!$AG$46</x:f>
        <x:v>3</x:v>
      </x:c>
      <x:c r="J9" s="9" t="n">
        <x:f>'Broad Screen'!$X$46</x:f>
        <x:v>4.5</x:v>
      </x:c>
      <x:c r="K9" s="9" t="n">
        <x:f>'Broad Screen'!$AE$46</x:f>
        <x:v>4</x:v>
      </x:c>
      <x:c r="L9" s="13" t="n">
        <x:f>'Broad Screen'!$AN$46</x:f>
        <x:v>48</x:v>
      </x:c>
      <x:c r="M9" s="9" t="n">
        <x:f>'Broad Screen'!$AO$46</x:f>
        <x:v>1</x:v>
      </x:c>
      <x:c r="N9" s="14" t="n">
        <x:f>'Broad Screen'!$AQ$46</x:f>
        <x:v>2.142857142857143</x:v>
      </x:c>
      <x:c r="O9" s="9" t="n">
        <x:f>'Broad Screen'!$AS$46</x:f>
        <x:v>0</x:v>
      </x:c>
      <x:c r="P9" s="9" t="str">
        <x:v>Proposed</x:v>
      </x:c>
      <x:c r="Q9" s="9" t="str">
        <x:v>Rent</x:v>
      </x:c>
    </x:row>
    <x:row r="10">
      <x:c r="A10" s="9" t="n">
        <x:v>9</x:v>
      </x:c>
      <x:c r="B10" s="9" t="str">
        <x:v>Lancaster</x:v>
      </x:c>
      <x:c r="C10" s="13" t="n">
        <x:f>'Broad Screen'!$AL$25</x:f>
        <x:v>68</x:v>
      </x:c>
      <x:c r="D10" s="10" t="n">
        <x:f>'Broad Screen'!$O$25</x:f>
        <x:v>596</x:v>
      </x:c>
      <x:c r="E10" s="9" t="n">
        <x:f>'Broad Screen'!$Q$25</x:f>
        <x:v>3</x:v>
      </x:c>
      <x:c r="F10" s="9" t="n">
        <x:f>'Broad Screen'!$I$25</x:f>
        <x:v>4</x:v>
      </x:c>
      <x:c r="G10" s="9" t="n">
        <x:f>'Broad Screen'!$Y$25</x:f>
        <x:v>4</x:v>
      </x:c>
      <x:c r="H10" s="9" t="n">
        <x:f>'Broad Screen'!$AI$25</x:f>
        <x:v>4</x:v>
      </x:c>
      <x:c r="I10" s="9" t="n">
        <x:f>'Broad Screen'!$AG$25</x:f>
        <x:v>4</x:v>
      </x:c>
      <x:c r="J10" s="9" t="n">
        <x:f>'Broad Screen'!$X$25</x:f>
        <x:v>1</x:v>
      </x:c>
      <x:c r="K10" s="9" t="n">
        <x:f>'Broad Screen'!$AE$25</x:f>
        <x:v>4</x:v>
      </x:c>
      <x:c r="L10" s="13" t="n">
        <x:f>'Broad Screen'!$AN$25</x:f>
        <x:v>57</x:v>
      </x:c>
      <x:c r="M10" s="9" t="n">
        <x:f>'Broad Screen'!$AO$25</x:f>
        <x:v>0</x:v>
      </x:c>
      <x:c r="N10" s="14" t="n">
        <x:f>'Broad Screen'!$AQ$25</x:f>
        <x:v>2</x:v>
      </x:c>
      <x:c r="O10" s="9" t="n">
        <x:f>'Broad Screen'!$AS$25</x:f>
        <x:v>0</x:v>
      </x:c>
      <x:c r="P10" s="9" t="str">
        <x:v>Proposed</x:v>
      </x:c>
      <x:c r="Q10" s="9" t="str">
        <x:v>Both</x:v>
      </x:c>
    </x:row>
    <x:row r="11">
      <x:c r="A11" s="9" t="n">
        <x:v>10</x:v>
      </x:c>
      <x:c r="B11" s="9" t="str">
        <x:v>Wigan</x:v>
      </x:c>
      <x:c r="C11" s="13" t="n">
        <x:f>'Broad Screen'!$AL$61</x:f>
        <x:v>67.6470588235294</x:v>
      </x:c>
      <x:c r="D11" s="10" t="n">
        <x:f>'Broad Screen'!$O$61</x:f>
        <x:v>541</x:v>
      </x:c>
      <x:c r="E11" s="9" t="n">
        <x:f>'Broad Screen'!$Q$61</x:f>
        <x:v>5</x:v>
      </x:c>
      <x:c r="F11" s="9" t="n">
        <x:f>'Broad Screen'!$I$61</x:f>
        <x:v>0</x:v>
      </x:c>
      <x:c r="G11" s="9" t="n">
        <x:f>'Broad Screen'!$Y$61</x:f>
        <x:v>4</x:v>
      </x:c>
      <x:c r="H11" s="9" t="n">
        <x:f>'Broad Screen'!$AI$61</x:f>
        <x:v>3</x:v>
      </x:c>
      <x:c r="I11" s="9" t="n">
        <x:f>'Broad Screen'!$AG$61</x:f>
        <x:v>3</x:v>
      </x:c>
      <x:c r="J11" s="9" t="n">
        <x:f>'Broad Screen'!$X$61</x:f>
        <x:v>1.5</x:v>
      </x:c>
      <x:c r="K11" s="9" t="n">
        <x:f>'Broad Screen'!$AE$61</x:f>
        <x:v>4</x:v>
      </x:c>
      <x:c r="L11" s="13" t="n">
        <x:f>'Broad Screen'!$AN$61</x:f>
        <x:v>56.25</x:v>
      </x:c>
      <x:c r="M11" s="9" t="n">
        <x:f>'Broad Screen'!$AO$61</x:f>
        <x:v>0</x:v>
      </x:c>
      <x:c r="N11" s="14" t="n">
        <x:f>'Broad Screen'!$AQ$61</x:f>
        <x:v>1.8571428571428572</x:v>
      </x:c>
      <x:c r="O11" s="9" t="n">
        <x:f>'Broad Screen'!$AS$61</x:f>
        <x:v>1</x:v>
      </x:c>
      <x:c r="P11" s="9" t="str">
        <x:v>Proposed</x:v>
      </x:c>
      <x:c r="Q11" s="9" t="str">
        <x:v>Both</x:v>
      </x:c>
    </x:row>
    <x:row r="12">
      <x:c r="A12" s="9" t="n">
        <x:v>11</x:v>
      </x:c>
      <x:c r="B12" s="9" t="str">
        <x:v>Manchester</x:v>
      </x:c>
      <x:c r="C12" s="13" t="n">
        <x:f>'Broad Screen'!$AL$31</x:f>
        <x:v>67.6470588235294</x:v>
      </x:c>
      <x:c r="D12" s="10" t="n">
        <x:f>'Broad Screen'!$O$31</x:f>
        <x:v>998</x:v>
      </x:c>
      <x:c r="E12" s="9" t="n">
        <x:f>'Broad Screen'!$Q$31</x:f>
        <x:v>1</x:v>
      </x:c>
      <x:c r="F12" s="9" t="n">
        <x:f>'Broad Screen'!$I$31</x:f>
        <x:v>0</x:v>
      </x:c>
      <x:c r="G12" s="9" t="n">
        <x:f>'Broad Screen'!$Y$31</x:f>
        <x:v>5</x:v>
      </x:c>
      <x:c r="H12" s="9" t="n">
        <x:f>'Broad Screen'!$AI$31</x:f>
        <x:v>4</x:v>
      </x:c>
      <x:c r="I12" s="9" t="n">
        <x:f>'Broad Screen'!$AG$31</x:f>
        <x:v>2</x:v>
      </x:c>
      <x:c r="J12" s="9" t="n">
        <x:f>'Broad Screen'!$X$31</x:f>
        <x:v>4.5</x:v>
      </x:c>
      <x:c r="K12" s="9" t="n">
        <x:f>'Broad Screen'!$AE$31</x:f>
        <x:v>4</x:v>
      </x:c>
      <x:c r="L12" s="13" t="n">
        <x:f>'Broad Screen'!$AN$31</x:f>
        <x:v>45</x:v>
      </x:c>
      <x:c r="M12" s="9" t="n">
        <x:f>'Broad Screen'!$AO$31</x:f>
        <x:v>0</x:v>
      </x:c>
      <x:c r="N12" s="14" t="n">
        <x:f>'Broad Screen'!$AQ$31</x:f>
        <x:v>2</x:v>
      </x:c>
      <x:c r="O12" s="9" t="n">
        <x:f>'Broad Screen'!$AS$31</x:f>
        <x:v>1</x:v>
      </x:c>
      <x:c r="P12" s="9" t="str">
        <x:v>Proposed</x:v>
      </x:c>
      <x:c r="Q12" s="9" t="str">
        <x:v>Both</x:v>
      </x:c>
    </x:row>
    <x:row r="13">
      <x:c r="A13" s="9" t="n">
        <x:v>12</x:v>
      </x:c>
      <x:c r="B13" s="9" t="str">
        <x:v>Huddersfield</x:v>
      </x:c>
      <x:c r="C13" s="13" t="n">
        <x:f>'Broad Screen'!$AL$21</x:f>
        <x:v>67.5</x:v>
      </x:c>
      <x:c r="D13" s="10" t="n">
        <x:f>'Broad Screen'!$O$21</x:f>
        <x:v>582</x:v>
      </x:c>
      <x:c r="E13" s="9" t="n">
        <x:f>'Broad Screen'!$Q$21</x:f>
        <x:v>3</x:v>
      </x:c>
      <x:c r="F13" s="9" t="n">
        <x:f>'Broad Screen'!$I$21</x:f>
        <x:v>4</x:v>
      </x:c>
      <x:c r="G13" s="9" t="n">
        <x:f>'Broad Screen'!$Y$21</x:f>
        <x:v>4</x:v>
      </x:c>
      <x:c r="H13" s="9" t="n">
        <x:f>'Broad Screen'!$AI$21</x:f>
        <x:v>3</x:v>
      </x:c>
      <x:c r="I13" s="9" t="n">
        <x:f>'Broad Screen'!$AG$21</x:f>
        <x:v>3</x:v>
      </x:c>
      <x:c r="J13" s="9" t="n">
        <x:f>'Broad Screen'!$X$21</x:f>
        <x:v>3.5</x:v>
      </x:c>
      <x:c r="K13" s="9" t="n">
        <x:f>'Broad Screen'!$AE$21</x:f>
        <x:v>3</x:v>
      </x:c>
      <x:c r="L13" s="13" t="n">
        <x:f>'Broad Screen'!$AN$21</x:f>
        <x:v>51</x:v>
      </x:c>
      <x:c r="M13" s="9" t="n">
        <x:f>'Broad Screen'!$AO$21</x:f>
        <x:v>0</x:v>
      </x:c>
      <x:c r="N13" s="14" t="n">
        <x:f>'Broad Screen'!$AQ$21</x:f>
        <x:v>2</x:v>
      </x:c>
      <x:c r="O13" s="9" t="n">
        <x:f>'Broad Screen'!$AS$21</x:f>
        <x:v>0</x:v>
      </x:c>
      <x:c r="P13" s="9" t="str">
        <x:v>Proposed</x:v>
      </x:c>
      <x:c r="Q13" s="9" t="str">
        <x:v>Both</x:v>
      </x:c>
    </x:row>
    <x:row r="14">
      <x:c r="A14" s="9" t="n">
        <x:v>13</x:v>
      </x:c>
      <x:c r="B14" s="9" t="str">
        <x:v>Rotherham</x:v>
      </x:c>
      <x:c r="C14" s="13" t="n">
        <x:f>'Broad Screen'!$AL$44</x:f>
        <x:v>66.5</x:v>
      </x:c>
      <x:c r="D14" s="10" t="n">
        <x:f>'Broad Screen'!$O$44</x:f>
        <x:v>486</x:v>
      </x:c>
      <x:c r="E14" s="9" t="n">
        <x:f>'Broad Screen'!$Q$44</x:f>
        <x:v>5</x:v>
      </x:c>
      <x:c r="F14" s="9" t="n">
        <x:f>'Broad Screen'!$I$44</x:f>
        <x:v>4</x:v>
      </x:c>
      <x:c r="G14" s="9" t="n">
        <x:f>'Broad Screen'!$Y$44</x:f>
        <x:v>4</x:v>
      </x:c>
      <x:c r="H14" s="9" t="n">
        <x:f>'Broad Screen'!$AI$44</x:f>
        <x:v>2</x:v>
      </x:c>
      <x:c r="I14" s="9" t="n">
        <x:f>'Broad Screen'!$AG$44</x:f>
        <x:v>2</x:v>
      </x:c>
      <x:c r="J14" s="9" t="n">
        <x:f>'Broad Screen'!$X$44</x:f>
        <x:v>2.5</x:v>
      </x:c>
      <x:c r="K14" s="9" t="n">
        <x:f>'Broad Screen'!$AE$44</x:f>
        <x:v>4</x:v>
      </x:c>
      <x:c r="L14" s="13" t="n">
        <x:f>'Broad Screen'!$AN$44</x:f>
        <x:v>51</x:v>
      </x:c>
      <x:c r="M14" s="9" t="n">
        <x:f>'Broad Screen'!$AO$44</x:f>
        <x:v>0</x:v>
      </x:c>
      <x:c r="N14" s="14" t="n">
        <x:f>'Broad Screen'!$AQ$44</x:f>
        <x:v>2</x:v>
      </x:c>
      <x:c r="O14" s="9" t="n">
        <x:f>'Broad Screen'!$AS$44</x:f>
        <x:v>0</x:v>
      </x:c>
      <x:c r="P14" s="9" t="str">
        <x:v>Not proposed</x:v>
      </x:c>
      <x:c r="Q14" s="9" t="str"/>
    </x:row>
    <x:row r="15">
      <x:c r="A15" s="9" t="n">
        <x:v>14</x:v>
      </x:c>
      <x:c r="B15" s="9" t="str">
        <x:v>Worcester</x:v>
      </x:c>
      <x:c r="C15" s="13" t="n">
        <x:f>'Broad Screen'!$AL$63</x:f>
        <x:v>66.5</x:v>
      </x:c>
      <x:c r="D15" s="10" t="n">
        <x:f>'Broad Screen'!$O$63</x:f>
        <x:v>709</x:v>
      </x:c>
      <x:c r="E15" s="9" t="n">
        <x:f>'Broad Screen'!$Q$63</x:f>
        <x:v>1</x:v>
      </x:c>
      <x:c r="F15" s="9" t="n">
        <x:f>'Broad Screen'!$I$63</x:f>
        <x:v>4</x:v>
      </x:c>
      <x:c r="G15" s="9" t="n">
        <x:f>'Broad Screen'!$Y$63</x:f>
        <x:v>3</x:v>
      </x:c>
      <x:c r="H15" s="9" t="n">
        <x:f>'Broad Screen'!$AI$63</x:f>
        <x:v>5</x:v>
      </x:c>
      <x:c r="I15" s="9" t="n">
        <x:f>'Broad Screen'!$AG$63</x:f>
        <x:v>4</x:v>
      </x:c>
      <x:c r="J15" s="9" t="n">
        <x:f>'Broad Screen'!$X$63</x:f>
        <x:v>2.5</x:v>
      </x:c>
      <x:c r="K15" s="9" t="n">
        <x:f>'Broad Screen'!$AE$63</x:f>
        <x:v>4</x:v>
      </x:c>
      <x:c r="L15" s="13" t="n">
        <x:f>'Broad Screen'!$AN$63</x:f>
        <x:v>51</x:v>
      </x:c>
      <x:c r="M15" s="9" t="n">
        <x:f>'Broad Screen'!$AO$63</x:f>
        <x:v>0</x:v>
      </x:c>
      <x:c r="N15" s="14" t="n">
        <x:f>'Broad Screen'!$AQ$63</x:f>
        <x:v>1.8571428571428572</x:v>
      </x:c>
      <x:c r="O15" s="9" t="n">
        <x:f>'Broad Screen'!$AS$63</x:f>
        <x:v>0</x:v>
      </x:c>
      <x:c r="P15" s="9" t="str">
        <x:v>Proposed</x:v>
      </x:c>
      <x:c r="Q15" s="9" t="str">
        <x:v>Buy</x:v>
      </x:c>
    </x:row>
    <x:row r="16">
      <x:c r="A16" s="9" t="n">
        <x:v>15</x:v>
      </x:c>
      <x:c r="B16" s="9" t="str">
        <x:v>Norwich</x:v>
      </x:c>
      <x:c r="C16" s="13" t="n">
        <x:f>'Broad Screen'!$AL$38</x:f>
        <x:v>66.5</x:v>
      </x:c>
      <x:c r="D16" s="10" t="n">
        <x:f>'Broad Screen'!$O$38</x:f>
        <x:v>781</x:v>
      </x:c>
      <x:c r="E16" s="9" t="n">
        <x:f>'Broad Screen'!$Q$38</x:f>
        <x:v>1</x:v>
      </x:c>
      <x:c r="F16" s="9" t="n">
        <x:f>'Broad Screen'!$I$38</x:f>
        <x:v>2</x:v>
      </x:c>
      <x:c r="G16" s="9" t="n">
        <x:f>'Broad Screen'!$Y$38</x:f>
        <x:v>4</x:v>
      </x:c>
      <x:c r="H16" s="9" t="n">
        <x:f>'Broad Screen'!$AI$38</x:f>
        <x:v>5</x:v>
      </x:c>
      <x:c r="I16" s="9" t="n">
        <x:f>'Broad Screen'!$AG$38</x:f>
        <x:v>4</x:v>
      </x:c>
      <x:c r="J16" s="9" t="n">
        <x:f>'Broad Screen'!$X$38</x:f>
        <x:v>3.5</x:v>
      </x:c>
      <x:c r="K16" s="9" t="n">
        <x:f>'Broad Screen'!$AE$38</x:f>
        <x:v>4</x:v>
      </x:c>
      <x:c r="L16" s="13" t="n">
        <x:f>'Broad Screen'!$AN$38</x:f>
        <x:v>48</x:v>
      </x:c>
      <x:c r="M16" s="9" t="n">
        <x:f>'Broad Screen'!$AO$38</x:f>
        <x:v>0</x:v>
      </x:c>
      <x:c r="N16" s="14" t="n">
        <x:f>'Broad Screen'!$AQ$38</x:f>
        <x:v>2</x:v>
      </x:c>
      <x:c r="O16" s="9" t="n">
        <x:f>'Broad Screen'!$AS$38</x:f>
        <x:v>0</x:v>
      </x:c>
      <x:c r="P16" s="9" t="str">
        <x:v>Not proposed</x:v>
      </x:c>
      <x:c r="Q16" s="9" t="str"/>
    </x:row>
    <x:row r="17">
      <x:c r="A17" s="9" t="n">
        <x:v>16</x:v>
      </x:c>
      <x:c r="B17" s="9" t="str">
        <x:v>Preston</x:v>
      </x:c>
      <x:c r="C17" s="13" t="n">
        <x:f>'Broad Screen'!$AL$43</x:f>
        <x:v>66.5</x:v>
      </x:c>
      <x:c r="D17" s="10" t="n">
        <x:f>'Broad Screen'!$O$43</x:f>
        <x:v>578</x:v>
      </x:c>
      <x:c r="E17" s="9" t="n">
        <x:f>'Broad Screen'!$Q$43</x:f>
        <x:v>5</x:v>
      </x:c>
      <x:c r="F17" s="9" t="n">
        <x:f>'Broad Screen'!$I$43</x:f>
        <x:v>2</x:v>
      </x:c>
      <x:c r="G17" s="9" t="n">
        <x:f>'Broad Screen'!$Y$43</x:f>
        <x:v>4</x:v>
      </x:c>
      <x:c r="H17" s="9" t="n">
        <x:f>'Broad Screen'!$AI$43</x:f>
        <x:v>3</x:v>
      </x:c>
      <x:c r="I17" s="9" t="n">
        <x:f>'Broad Screen'!$AG$43</x:f>
        <x:v>2</x:v>
      </x:c>
      <x:c r="J17" s="9" t="n">
        <x:f>'Broad Screen'!$X$43</x:f>
        <x:v>3.5</x:v>
      </x:c>
      <x:c r="K17" s="9" t="n">
        <x:f>'Broad Screen'!$AE$43</x:f>
        <x:v>4</x:v>
      </x:c>
      <x:c r="L17" s="13" t="n">
        <x:f>'Broad Screen'!$AN$43</x:f>
        <x:v>48</x:v>
      </x:c>
      <x:c r="M17" s="9" t="n">
        <x:f>'Broad Screen'!$AO$43</x:f>
        <x:v>0</x:v>
      </x:c>
      <x:c r="N17" s="14" t="n">
        <x:f>'Broad Screen'!$AQ$43</x:f>
        <x:v>1.8571428571428572</x:v>
      </x:c>
      <x:c r="O17" s="9" t="n">
        <x:f>'Broad Screen'!$AS$43</x:f>
        <x:v>0</x:v>
      </x:c>
      <x:c r="P17" s="9" t="str">
        <x:v>Not proposed</x:v>
      </x:c>
      <x:c r="Q17" s="9" t="str"/>
    </x:row>
    <x:row r="18">
      <x:c r="A18" s="9" t="n">
        <x:v>17</x:v>
      </x:c>
      <x:c r="B18" s="9" t="str">
        <x:v>Liverpool</x:v>
      </x:c>
      <x:c r="C18" s="13" t="n">
        <x:f>'Broad Screen'!$AL$29</x:f>
        <x:v>66.5</x:v>
      </x:c>
      <x:c r="D18" s="10" t="n">
        <x:f>'Broad Screen'!$O$29</x:f>
        <x:v>683</x:v>
      </x:c>
      <x:c r="E18" s="9" t="n">
        <x:f>'Broad Screen'!$Q$29</x:f>
        <x:v>3</x:v>
      </x:c>
      <x:c r="F18" s="9" t="n">
        <x:f>'Broad Screen'!$I$29</x:f>
        <x:v>1</x:v>
      </x:c>
      <x:c r="G18" s="9" t="n">
        <x:f>'Broad Screen'!$Y$29</x:f>
        <x:v>5</x:v>
      </x:c>
      <x:c r="H18" s="9" t="n">
        <x:f>'Broad Screen'!$AI$29</x:f>
        <x:v>4</x:v>
      </x:c>
      <x:c r="I18" s="9" t="n">
        <x:f>'Broad Screen'!$AG$29</x:f>
        <x:v>2</x:v>
      </x:c>
      <x:c r="J18" s="9" t="n">
        <x:f>'Broad Screen'!$X$29</x:f>
        <x:v>4.5</x:v>
      </x:c>
      <x:c r="K18" s="9" t="n">
        <x:f>'Broad Screen'!$AE$29</x:f>
        <x:v>4</x:v>
      </x:c>
      <x:c r="L18" s="13" t="n">
        <x:f>'Broad Screen'!$AN$29</x:f>
        <x:v>45</x:v>
      </x:c>
      <x:c r="M18" s="9" t="n">
        <x:f>'Broad Screen'!$AO$29</x:f>
        <x:v>1</x:v>
      </x:c>
      <x:c r="N18" s="14" t="n">
        <x:f>'Broad Screen'!$AQ$29</x:f>
        <x:v>2.142857142857143</x:v>
      </x:c>
      <x:c r="O18" s="9" t="n">
        <x:f>'Broad Screen'!$AS$29</x:f>
        <x:v>0</x:v>
      </x:c>
      <x:c r="P18" s="9" t="str">
        <x:v>Not proposed</x:v>
      </x:c>
      <x:c r="Q18" s="9" t="str"/>
    </x:row>
    <x:row r="19">
      <x:c r="A19" s="9" t="n">
        <x:v>18</x:v>
      </x:c>
      <x:c r="B19" s="9" t="str">
        <x:v>Neath</x:v>
      </x:c>
      <x:c r="C19" s="13" t="n">
        <x:f>'Broad Screen'!$AL$34</x:f>
        <x:v>66</x:v>
      </x:c>
      <x:c r="D19" s="10" t="n">
        <x:f>'Broad Screen'!$O$34</x:f>
        <x:v>498</x:v>
      </x:c>
      <x:c r="E19" s="9" t="n">
        <x:f>'Broad Screen'!$Q$34</x:f>
        <x:v>5</x:v>
      </x:c>
      <x:c r="F19" s="9" t="n">
        <x:f>'Broad Screen'!$I$34</x:f>
        <x:v>5</x:v>
      </x:c>
      <x:c r="G19" s="9" t="n">
        <x:f>'Broad Screen'!$Y$34</x:f>
        <x:v>3</x:v>
      </x:c>
      <x:c r="H19" s="9" t="n">
        <x:f>'Broad Screen'!$AI$34</x:f>
        <x:v>3</x:v>
      </x:c>
      <x:c r="I19" s="9" t="n">
        <x:f>'Broad Screen'!$AG$34</x:f>
        <x:v>3</x:v>
      </x:c>
      <x:c r="J19" s="9" t="n">
        <x:f>'Broad Screen'!$X$34</x:f>
        <x:v>1</x:v>
      </x:c>
      <x:c r="K19" s="9" t="n">
        <x:f>'Broad Screen'!$AE$34</x:f>
        <x:v>3</x:v>
      </x:c>
      <x:c r="L19" s="13" t="n">
        <x:f>'Broad Screen'!$AN$34</x:f>
        <x:v>57</x:v>
      </x:c>
      <x:c r="M19" s="9" t="n">
        <x:f>'Broad Screen'!$AO$34</x:f>
        <x:v>0</x:v>
      </x:c>
      <x:c r="N19" s="14" t="n">
        <x:f>'Broad Screen'!$AQ$34</x:f>
        <x:v>1.8571428571428572</x:v>
      </x:c>
      <x:c r="O19" s="9" t="n">
        <x:f>'Broad Screen'!$AS$34</x:f>
        <x:v>0</x:v>
      </x:c>
      <x:c r="P19" s="9" t="str">
        <x:v>Not proposed</x:v>
      </x:c>
      <x:c r="Q19" s="9" t="str"/>
    </x:row>
    <x:row r="20">
      <x:c r="A20" s="9" t="n">
        <x:v>19</x:v>
      </x:c>
      <x:c r="B20" s="9" t="str">
        <x:v>Loughborough</x:v>
      </x:c>
      <x:c r="C20" s="13" t="n">
        <x:f>'Broad Screen'!$AL$30</x:f>
        <x:v>65.5</x:v>
      </x:c>
      <x:c r="D20" s="10" t="n">
        <x:f>'Broad Screen'!$O$30</x:f>
        <x:v>677</x:v>
      </x:c>
      <x:c r="E20" s="9" t="n">
        <x:f>'Broad Screen'!$Q$30</x:f>
        <x:v>3</x:v>
      </x:c>
      <x:c r="F20" s="9" t="n">
        <x:f>'Broad Screen'!$I$30</x:f>
        <x:v>5</x:v>
      </x:c>
      <x:c r="G20" s="9" t="n">
        <x:f>'Broad Screen'!$Y$30</x:f>
        <x:v>3</x:v>
      </x:c>
      <x:c r="H20" s="9" t="n">
        <x:f>'Broad Screen'!$AI$30</x:f>
        <x:v>3</x:v>
      </x:c>
      <x:c r="I20" s="9" t="n">
        <x:f>'Broad Screen'!$AG$30</x:f>
        <x:v>3</x:v>
      </x:c>
      <x:c r="J20" s="9" t="n">
        <x:f>'Broad Screen'!$X$30</x:f>
        <x:v>1.5</x:v>
      </x:c>
      <x:c r="K20" s="9" t="n">
        <x:f>'Broad Screen'!$AE$30</x:f>
        <x:v>5</x:v>
      </x:c>
      <x:c r="L20" s="13" t="n">
        <x:f>'Broad Screen'!$AN$30</x:f>
        <x:v>51</x:v>
      </x:c>
      <x:c r="M20" s="9" t="n">
        <x:f>'Broad Screen'!$AO$30</x:f>
        <x:v>0</x:v>
      </x:c>
      <x:c r="N20" s="14" t="n">
        <x:f>'Broad Screen'!$AQ$30</x:f>
        <x:v>1.8571428571428572</x:v>
      </x:c>
      <x:c r="O20" s="9" t="n">
        <x:f>'Broad Screen'!$AS$30</x:f>
        <x:v>0</x:v>
      </x:c>
      <x:c r="P20" s="9" t="str">
        <x:v>Not proposed</x:v>
      </x:c>
      <x:c r="Q20" s="9" t="str"/>
    </x:row>
    <x:row r="21">
      <x:c r="A21" s="9" t="n">
        <x:v>20</x:v>
      </x:c>
      <x:c r="B21" s="9" t="str">
        <x:v>Doncaster</x:v>
      </x:c>
      <x:c r="C21" s="13" t="n">
        <x:f>'Broad Screen'!$AL$16</x:f>
        <x:v>65.5</x:v>
      </x:c>
      <x:c r="D21" s="10" t="n">
        <x:f>'Broad Screen'!$O$16</x:f>
        <x:v>491</x:v>
      </x:c>
      <x:c r="E21" s="9" t="n">
        <x:f>'Broad Screen'!$Q$16</x:f>
        <x:v>5</x:v>
      </x:c>
      <x:c r="F21" s="9" t="n">
        <x:f>'Broad Screen'!$I$16</x:f>
        <x:v>3</x:v>
      </x:c>
      <x:c r="G21" s="9" t="n">
        <x:f>'Broad Screen'!$Y$16</x:f>
        <x:v>4</x:v>
      </x:c>
      <x:c r="H21" s="9" t="n">
        <x:f>'Broad Screen'!$AI$16</x:f>
        <x:v>2</x:v>
      </x:c>
      <x:c r="I21" s="9" t="n">
        <x:f>'Broad Screen'!$AG$16</x:f>
        <x:v>2</x:v>
      </x:c>
      <x:c r="J21" s="9" t="n">
        <x:f>'Broad Screen'!$X$16</x:f>
        <x:v>2.5</x:v>
      </x:c>
      <x:c r="K21" s="9" t="n">
        <x:f>'Broad Screen'!$AE$16</x:f>
        <x:v>5</x:v>
      </x:c>
      <x:c r="L21" s="13" t="n">
        <x:f>'Broad Screen'!$AN$16</x:f>
        <x:v>48</x:v>
      </x:c>
      <x:c r="M21" s="9" t="n">
        <x:f>'Broad Screen'!$AO$16</x:f>
        <x:v>0</x:v>
      </x:c>
      <x:c r="N21" s="14" t="n">
        <x:f>'Broad Screen'!$AQ$16</x:f>
        <x:v>2</x:v>
      </x:c>
      <x:c r="O21" s="9" t="n">
        <x:f>'Broad Screen'!$AS$16</x:f>
        <x:v>0</x:v>
      </x:c>
      <x:c r="P21" s="9" t="str">
        <x:v>Not proposed</x:v>
      </x:c>
      <x:c r="Q21" s="9" t="str"/>
    </x:row>
    <x:row r="22">
      <x:c r="A22" s="9" t="n">
        <x:v>21</x:v>
      </x:c>
      <x:c r="B22" s="9" t="str">
        <x:v>Gloucester</x:v>
      </x:c>
      <x:c r="C22" s="13" t="n">
        <x:f>'Broad Screen'!$AL$18</x:f>
        <x:v>65.5</x:v>
      </x:c>
      <x:c r="D22" s="10" t="n">
        <x:f>'Broad Screen'!$O$18</x:f>
        <x:v>743</x:v>
      </x:c>
      <x:c r="E22" s="9" t="n">
        <x:f>'Broad Screen'!$Q$18</x:f>
        <x:v>1</x:v>
      </x:c>
      <x:c r="F22" s="9" t="n">
        <x:f>'Broad Screen'!$I$18</x:f>
        <x:v>4</x:v>
      </x:c>
      <x:c r="G22" s="9" t="n">
        <x:f>'Broad Screen'!$Y$18</x:f>
        <x:v>4</x:v>
      </x:c>
      <x:c r="H22" s="9" t="n">
        <x:f>'Broad Screen'!$AI$18</x:f>
        <x:v>4</x:v>
      </x:c>
      <x:c r="I22" s="9" t="n">
        <x:f>'Broad Screen'!$AG$18</x:f>
        <x:v>3</x:v>
      </x:c>
      <x:c r="J22" s="9" t="n">
        <x:f>'Broad Screen'!$X$18</x:f>
        <x:v>2.5</x:v>
      </x:c>
      <x:c r="K22" s="9" t="n">
        <x:f>'Broad Screen'!$AE$18</x:f>
        <x:v>5</x:v>
      </x:c>
      <x:c r="L22" s="13" t="n">
        <x:f>'Broad Screen'!$AN$18</x:f>
        <x:v>48</x:v>
      </x:c>
      <x:c r="M22" s="9" t="n">
        <x:f>'Broad Screen'!$AO$18</x:f>
        <x:v>0</x:v>
      </x:c>
      <x:c r="N22" s="14" t="n">
        <x:f>'Broad Screen'!$AQ$18</x:f>
        <x:v>2</x:v>
      </x:c>
      <x:c r="O22" s="9" t="n">
        <x:f>'Broad Screen'!$AS$18</x:f>
        <x:v>0</x:v>
      </x:c>
      <x:c r="P22" s="9" t="str">
        <x:v>Not proposed</x:v>
      </x:c>
      <x:c r="Q22" s="9" t="str"/>
    </x:row>
    <x:row r="23">
      <x:c r="A23" s="9" t="n">
        <x:v>22</x:v>
      </x:c>
      <x:c r="B23" s="9" t="str">
        <x:v>Burton-on-Trent</x:v>
      </x:c>
      <x:c r="C23" s="13" t="n">
        <x:f>'Broad Screen'!$AL$9</x:f>
        <x:v>65.5</x:v>
      </x:c>
      <x:c r="D23" s="10" t="n">
        <x:f>'Broad Screen'!$O$9</x:f>
        <x:v>610</x:v>
      </x:c>
      <x:c r="E23" s="9" t="n">
        <x:f>'Broad Screen'!$Q$9</x:f>
        <x:v>3</x:v>
      </x:c>
      <x:c r="F23" s="9" t="n">
        <x:f>'Broad Screen'!$I$9</x:f>
        <x:v>5</x:v>
      </x:c>
      <x:c r="G23" s="9" t="n">
        <x:f>'Broad Screen'!$Y$9</x:f>
        <x:v>3</x:v>
      </x:c>
      <x:c r="H23" s="9" t="n">
        <x:f>'Broad Screen'!$AI$9</x:f>
        <x:v>3</x:v>
      </x:c>
      <x:c r="I23" s="9" t="n">
        <x:f>'Broad Screen'!$AG$9</x:f>
        <x:v>2</x:v>
      </x:c>
      <x:c r="J23" s="9" t="n">
        <x:f>'Broad Screen'!$X$9</x:f>
        <x:v>2.5</x:v>
      </x:c>
      <x:c r="K23" s="9" t="n">
        <x:f>'Broad Screen'!$AE$9</x:f>
        <x:v>5</x:v>
      </x:c>
      <x:c r="L23" s="13" t="n">
        <x:f>'Broad Screen'!$AN$9</x:f>
        <x:v>48</x:v>
      </x:c>
      <x:c r="M23" s="9" t="n">
        <x:f>'Broad Screen'!$AO$9</x:f>
        <x:v>0</x:v>
      </x:c>
      <x:c r="N23" s="14" t="n">
        <x:f>'Broad Screen'!$AQ$9</x:f>
        <x:v>1.8571428571428572</x:v>
      </x:c>
      <x:c r="O23" s="9" t="n">
        <x:f>'Broad Screen'!$AS$9</x:f>
        <x:v>0</x:v>
      </x:c>
      <x:c r="P23" s="9" t="str">
        <x:v>Proposed</x:v>
      </x:c>
      <x:c r="Q23" s="9" t="str">
        <x:v>Buy</x:v>
      </x:c>
    </x:row>
    <x:row r="24">
      <x:c r="A24" s="9" t="n">
        <x:v>23</x:v>
      </x:c>
      <x:c r="B24" s="9" t="str">
        <x:v>Kettering</x:v>
      </x:c>
      <x:c r="C24" s="13" t="n">
        <x:f>'Broad Screen'!$AL$24</x:f>
        <x:v>65.5</x:v>
      </x:c>
      <x:c r="D24" s="10" t="n">
        <x:f>'Broad Screen'!$O$24</x:f>
        <x:v>681</x:v>
      </x:c>
      <x:c r="E24" s="9" t="n">
        <x:f>'Broad Screen'!$Q$24</x:f>
        <x:v>3</x:v>
      </x:c>
      <x:c r="F24" s="9" t="n">
        <x:f>'Broad Screen'!$I$24</x:f>
        <x:v>4</x:v>
      </x:c>
      <x:c r="G24" s="9" t="n">
        <x:f>'Broad Screen'!$Y$24</x:f>
        <x:v>3</x:v>
      </x:c>
      <x:c r="H24" s="9" t="n">
        <x:f>'Broad Screen'!$AI$24</x:f>
        <x:v>3</x:v>
      </x:c>
      <x:c r="I24" s="9" t="n">
        <x:f>'Broad Screen'!$AG$24</x:f>
        <x:v>3</x:v>
      </x:c>
      <x:c r="J24" s="9" t="n">
        <x:f>'Broad Screen'!$X$24</x:f>
        <x:v>2.5</x:v>
      </x:c>
      <x:c r="K24" s="9" t="n">
        <x:f>'Broad Screen'!$AE$24</x:f>
        <x:v>5</x:v>
      </x:c>
      <x:c r="L24" s="13" t="n">
        <x:f>'Broad Screen'!$AN$24</x:f>
        <x:v>48</x:v>
      </x:c>
      <x:c r="M24" s="9" t="n">
        <x:f>'Broad Screen'!$AO$24</x:f>
        <x:v>0</x:v>
      </x:c>
      <x:c r="N24" s="14" t="n">
        <x:f>'Broad Screen'!$AQ$24</x:f>
        <x:v>1.8571428571428572</x:v>
      </x:c>
      <x:c r="O24" s="9" t="n">
        <x:f>'Broad Screen'!$AS$24</x:f>
        <x:v>0</x:v>
      </x:c>
      <x:c r="P24" s="9" t="str">
        <x:v>Not proposed</x:v>
      </x:c>
      <x:c r="Q24" s="9" t="str"/>
    </x:row>
    <x:row r="25">
      <x:c r="A25" s="9" t="n">
        <x:v>24</x:v>
      </x:c>
      <x:c r="B25" s="9" t="str">
        <x:v>Stoke-on-Trent</x:v>
      </x:c>
      <x:c r="C25" s="13" t="n">
        <x:f>'Broad Screen'!$AL$52</x:f>
        <x:v>65.5</x:v>
      </x:c>
      <x:c r="D25" s="10" t="n">
        <x:f>'Broad Screen'!$O$52</x:f>
        <x:v>515</x:v>
      </x:c>
      <x:c r="E25" s="9" t="n">
        <x:f>'Broad Screen'!$Q$52</x:f>
        <x:v>5</x:v>
      </x:c>
      <x:c r="F25" s="9" t="n">
        <x:f>'Broad Screen'!$I$52</x:f>
        <x:v>3</x:v>
      </x:c>
      <x:c r="G25" s="9" t="n">
        <x:f>'Broad Screen'!$Y$52</x:f>
        <x:v>4</x:v>
      </x:c>
      <x:c r="H25" s="9" t="n">
        <x:f>'Broad Screen'!$AI$52</x:f>
        <x:v>2</x:v>
      </x:c>
      <x:c r="I25" s="9" t="n">
        <x:f>'Broad Screen'!$AG$52</x:f>
        <x:v>2</x:v>
      </x:c>
      <x:c r="J25" s="9" t="n">
        <x:f>'Broad Screen'!$X$52</x:f>
        <x:v>2.5</x:v>
      </x:c>
      <x:c r="K25" s="9" t="n">
        <x:f>'Broad Screen'!$AE$52</x:f>
        <x:v>5</x:v>
      </x:c>
      <x:c r="L25" s="13" t="n">
        <x:f>'Broad Screen'!$AN$52</x:f>
        <x:v>48</x:v>
      </x:c>
      <x:c r="M25" s="9" t="n">
        <x:f>'Broad Screen'!$AO$52</x:f>
        <x:v>0</x:v>
      </x:c>
      <x:c r="N25" s="14" t="n">
        <x:f>'Broad Screen'!$AQ$52</x:f>
        <x:v>1.8571428571428572</x:v>
      </x:c>
      <x:c r="O25" s="9" t="n">
        <x:f>'Broad Screen'!$AS$52</x:f>
        <x:v>0</x:v>
      </x:c>
      <x:c r="P25" s="9" t="str">
        <x:v>Not proposed</x:v>
      </x:c>
      <x:c r="Q25" s="9" t="str"/>
    </x:row>
    <x:row r="26">
      <x:c r="A26" s="9" t="n">
        <x:v>25</x:v>
      </x:c>
      <x:c r="B26" s="9" t="str">
        <x:v>Warrington</x:v>
      </x:c>
      <x:c r="C26" s="13" t="n">
        <x:f>'Broad Screen'!$AL$60</x:f>
        <x:v>65.5</x:v>
      </x:c>
      <x:c r="D26" s="10" t="n">
        <x:f>'Broad Screen'!$O$60</x:f>
        <x:v>670</x:v>
      </x:c>
      <x:c r="E26" s="9" t="n">
        <x:f>'Broad Screen'!$Q$60</x:f>
        <x:v>3</x:v>
      </x:c>
      <x:c r="F26" s="9" t="n">
        <x:f>'Broad Screen'!$I$60</x:f>
        <x:v>4</x:v>
      </x:c>
      <x:c r="G26" s="9" t="n">
        <x:f>'Broad Screen'!$Y$60</x:f>
        <x:v>4</x:v>
      </x:c>
      <x:c r="H26" s="9" t="n">
        <x:f>'Broad Screen'!$AI$60</x:f>
        <x:v>3</x:v>
      </x:c>
      <x:c r="I26" s="9" t="n">
        <x:f>'Broad Screen'!$AG$60</x:f>
        <x:v>2</x:v>
      </x:c>
      <x:c r="J26" s="9" t="n">
        <x:f>'Broad Screen'!$X$60</x:f>
        <x:v>2.5</x:v>
      </x:c>
      <x:c r="K26" s="9" t="n">
        <x:f>'Broad Screen'!$AE$60</x:f>
        <x:v>5</x:v>
      </x:c>
      <x:c r="L26" s="13" t="n">
        <x:f>'Broad Screen'!$AN$60</x:f>
        <x:v>48</x:v>
      </x:c>
      <x:c r="M26" s="9" t="n">
        <x:f>'Broad Screen'!$AO$60</x:f>
        <x:v>0</x:v>
      </x:c>
      <x:c r="N26" s="14" t="n">
        <x:f>'Broad Screen'!$AQ$60</x:f>
        <x:v>1.8571428571428572</x:v>
      </x:c>
      <x:c r="O26" s="9" t="n">
        <x:f>'Broad Screen'!$AS$60</x:f>
        <x:v>0</x:v>
      </x:c>
      <x:c r="P26" s="9" t="str">
        <x:v>Not proposed</x:v>
      </x:c>
      <x:c r="Q26" s="9" t="str"/>
    </x:row>
    <x:row r="27">
      <x:c r="A27" s="9" t="n">
        <x:v>26</x:v>
      </x:c>
      <x:c r="B27" s="9" t="str">
        <x:v>Wolverhampton</x:v>
      </x:c>
      <x:c r="C27" s="13" t="n">
        <x:f>'Broad Screen'!$AL$62</x:f>
        <x:v>65.5</x:v>
      </x:c>
      <x:c r="D27" s="10" t="n">
        <x:f>'Broad Screen'!$O$62</x:f>
        <x:v>671</x:v>
      </x:c>
      <x:c r="E27" s="9" t="n">
        <x:f>'Broad Screen'!$Q$62</x:f>
        <x:v>3</x:v>
      </x:c>
      <x:c r="F27" s="9" t="n">
        <x:f>'Broad Screen'!$I$62</x:f>
        <x:v>4</x:v>
      </x:c>
      <x:c r="G27" s="9" t="n">
        <x:f>'Broad Screen'!$Y$62</x:f>
        <x:v>4</x:v>
      </x:c>
      <x:c r="H27" s="9" t="n">
        <x:f>'Broad Screen'!$AI$62</x:f>
        <x:v>2</x:v>
      </x:c>
      <x:c r="I27" s="9" t="n">
        <x:f>'Broad Screen'!$AG$62</x:f>
        <x:v>2</x:v>
      </x:c>
      <x:c r="J27" s="9" t="n">
        <x:f>'Broad Screen'!$X$62</x:f>
        <x:v>3.5</x:v>
      </x:c>
      <x:c r="K27" s="9" t="n">
        <x:f>'Broad Screen'!$AE$62</x:f>
        <x:v>5</x:v>
      </x:c>
      <x:c r="L27" s="13" t="n">
        <x:f>'Broad Screen'!$AN$62</x:f>
        <x:v>45</x:v>
      </x:c>
      <x:c r="M27" s="9" t="n">
        <x:f>'Broad Screen'!$AO$62</x:f>
        <x:v>0</x:v>
      </x:c>
      <x:c r="N27" s="14" t="n">
        <x:f>'Broad Screen'!$AQ$62</x:f>
        <x:v>2</x:v>
      </x:c>
      <x:c r="O27" s="9" t="n">
        <x:f>'Broad Screen'!$AS$62</x:f>
        <x:v>0</x:v>
      </x:c>
      <x:c r="P27" s="9" t="str">
        <x:v>Not proposed</x:v>
      </x:c>
      <x:c r="Q27" s="9" t="str"/>
    </x:row>
    <x:row r="28">
      <x:c r="A28" s="9" t="n">
        <x:v>27</x:v>
      </x:c>
      <x:c r="B28" s="9" t="str">
        <x:v>Derby</x:v>
      </x:c>
      <x:c r="C28" s="13" t="n">
        <x:f>'Broad Screen'!$AL$15</x:f>
        <x:v>65.5</x:v>
      </x:c>
      <x:c r="D28" s="10" t="n">
        <x:f>'Broad Screen'!$O$15</x:f>
        <x:v>606</x:v>
      </x:c>
      <x:c r="E28" s="9" t="n">
        <x:f>'Broad Screen'!$Q$15</x:f>
        <x:v>3</x:v>
      </x:c>
      <x:c r="F28" s="9" t="n">
        <x:f>'Broad Screen'!$I$15</x:f>
        <x:v>2</x:v>
      </x:c>
      <x:c r="G28" s="9" t="n">
        <x:f>'Broad Screen'!$Y$15</x:f>
        <x:v>4</x:v>
      </x:c>
      <x:c r="H28" s="9" t="n">
        <x:f>'Broad Screen'!$AI$15</x:f>
        <x:v>3</x:v>
      </x:c>
      <x:c r="I28" s="9" t="n">
        <x:f>'Broad Screen'!$AG$15</x:f>
        <x:v>2</x:v>
      </x:c>
      <x:c r="J28" s="9" t="n">
        <x:f>'Broad Screen'!$X$15</x:f>
        <x:v>4.5</x:v>
      </x:c>
      <x:c r="K28" s="9" t="n">
        <x:f>'Broad Screen'!$AE$15</x:f>
        <x:v>5</x:v>
      </x:c>
      <x:c r="L28" s="13" t="n">
        <x:f>'Broad Screen'!$AN$15</x:f>
        <x:v>42</x:v>
      </x:c>
      <x:c r="M28" s="9" t="n">
        <x:f>'Broad Screen'!$AO$15</x:f>
        <x:v>0</x:v>
      </x:c>
      <x:c r="N28" s="14" t="n">
        <x:f>'Broad Screen'!$AQ$15</x:f>
        <x:v>1.8571428571428572</x:v>
      </x:c>
      <x:c r="O28" s="9" t="n">
        <x:f>'Broad Screen'!$AS$15</x:f>
        <x:v>0</x:v>
      </x:c>
      <x:c r="P28" s="9" t="str">
        <x:v>Not proposed</x:v>
      </x:c>
      <x:c r="Q28" s="9" t="str"/>
    </x:row>
    <x:row r="29">
      <x:c r="A29" s="9" t="n">
        <x:v>28</x:v>
      </x:c>
      <x:c r="B29" s="9" t="str">
        <x:v>Darlington</x:v>
      </x:c>
      <x:c r="C29" s="13" t="n">
        <x:f>'Broad Screen'!$AL$14</x:f>
        <x:v>64.5</x:v>
      </x:c>
      <x:c r="D29" s="10" t="n">
        <x:f>'Broad Screen'!$O$14</x:f>
        <x:v>494</x:v>
      </x:c>
      <x:c r="E29" s="9" t="n">
        <x:f>'Broad Screen'!$Q$14</x:f>
        <x:v>5</x:v>
      </x:c>
      <x:c r="F29" s="9" t="n">
        <x:f>'Broad Screen'!$I$14</x:f>
        <x:v>3</x:v>
      </x:c>
      <x:c r="G29" s="9" t="n">
        <x:f>'Broad Screen'!$Y$14</x:f>
        <x:v>4</x:v>
      </x:c>
      <x:c r="H29" s="9" t="n">
        <x:f>'Broad Screen'!$AI$14</x:f>
        <x:v>3</x:v>
      </x:c>
      <x:c r="I29" s="9" t="n">
        <x:f>'Broad Screen'!$AG$14</x:f>
        <x:v>3</x:v>
      </x:c>
      <x:c r="J29" s="9" t="n">
        <x:f>'Broad Screen'!$X$14</x:f>
        <x:v>1.5</x:v>
      </x:c>
      <x:c r="K29" s="9" t="n">
        <x:f>'Broad Screen'!$AE$14</x:f>
        <x:v>3</x:v>
      </x:c>
      <x:c r="L29" s="13" t="n">
        <x:f>'Broad Screen'!$AN$14</x:f>
        <x:v>54</x:v>
      </x:c>
      <x:c r="M29" s="9" t="n">
        <x:f>'Broad Screen'!$AO$14</x:f>
        <x:v>0</x:v>
      </x:c>
      <x:c r="N29" s="14" t="n">
        <x:f>'Broad Screen'!$AQ$14</x:f>
        <x:v>1.8571428571428572</x:v>
      </x:c>
      <x:c r="O29" s="9" t="n">
        <x:f>'Broad Screen'!$AS$14</x:f>
        <x:v>0</x:v>
      </x:c>
      <x:c r="P29" s="9" t="str">
        <x:v>Not proposed</x:v>
      </x:c>
      <x:c r="Q29" s="9" t="str"/>
    </x:row>
    <x:row r="30">
      <x:c r="A30" s="9" t="n">
        <x:v>29</x:v>
      </x:c>
      <x:c r="B30" s="9" t="str">
        <x:v>Torbay</x:v>
      </x:c>
      <x:c r="C30" s="13" t="n">
        <x:f>'Broad Screen'!$AL$57</x:f>
        <x:v>64.5</x:v>
      </x:c>
      <x:c r="D30" s="10" t="n">
        <x:f>'Broad Screen'!$O$57</x:f>
        <x:v>617</x:v>
      </x:c>
      <x:c r="E30" s="9" t="n">
        <x:f>'Broad Screen'!$Q$57</x:f>
        <x:v>3</x:v>
      </x:c>
      <x:c r="F30" s="9" t="n">
        <x:f>'Broad Screen'!$I$57</x:f>
        <x:v>3</x:v>
      </x:c>
      <x:c r="G30" s="9" t="n">
        <x:f>'Broad Screen'!$Y$57</x:f>
        <x:v>3</x:v>
      </x:c>
      <x:c r="H30" s="9" t="n">
        <x:f>'Broad Screen'!$AI$57</x:f>
        <x:v>4</x:v>
      </x:c>
      <x:c r="I30" s="9" t="n">
        <x:f>'Broad Screen'!$AG$57</x:f>
        <x:v>4</x:v>
      </x:c>
      <x:c r="J30" s="9" t="n">
        <x:f>'Broad Screen'!$X$57</x:f>
        <x:v>2.5</x:v>
      </x:c>
      <x:c r="K30" s="9" t="n">
        <x:f>'Broad Screen'!$AE$57</x:f>
        <x:v>3</x:v>
      </x:c>
      <x:c r="L30" s="13" t="n">
        <x:f>'Broad Screen'!$AN$57</x:f>
        <x:v>51</x:v>
      </x:c>
      <x:c r="M30" s="9" t="n">
        <x:f>'Broad Screen'!$AO$57</x:f>
        <x:v>0</x:v>
      </x:c>
      <x:c r="N30" s="14" t="n">
        <x:f>'Broad Screen'!$AQ$57</x:f>
        <x:v>1.8571428571428572</x:v>
      </x:c>
      <x:c r="O30" s="9" t="n">
        <x:f>'Broad Screen'!$AS$57</x:f>
        <x:v>0</x:v>
      </x:c>
      <x:c r="P30" s="9" t="str">
        <x:v>Not proposed</x:v>
      </x:c>
      <x:c r="Q30" s="9" t="str"/>
    </x:row>
    <x:row r="31">
      <x:c r="A31" s="9" t="n">
        <x:v>30</x:v>
      </x:c>
      <x:c r="B31" s="9" t="str">
        <x:v>Bolton</x:v>
      </x:c>
      <x:c r="C31" s="13" t="n">
        <x:f>'Broad Screen'!$AL$6</x:f>
        <x:v>64.11764705882354</x:v>
      </x:c>
      <x:c r="D31" s="10" t="n">
        <x:f>'Broad Screen'!$O$6</x:f>
        <x:v>647</x:v>
      </x:c>
      <x:c r="E31" s="9" t="n">
        <x:f>'Broad Screen'!$Q$6</x:f>
        <x:v>3</x:v>
      </x:c>
      <x:c r="F31" s="9" t="n">
        <x:f>'Broad Screen'!$I$6</x:f>
        <x:v>0</x:v>
      </x:c>
      <x:c r="G31" s="9" t="n">
        <x:f>'Broad Screen'!$Y$6</x:f>
        <x:v>4</x:v>
      </x:c>
      <x:c r="H31" s="9" t="n">
        <x:f>'Broad Screen'!$AI$6</x:f>
        <x:v>2</x:v>
      </x:c>
      <x:c r="I31" s="9" t="n">
        <x:f>'Broad Screen'!$AG$6</x:f>
        <x:v>3</x:v>
      </x:c>
      <x:c r="J31" s="9" t="n">
        <x:f>'Broad Screen'!$X$6</x:f>
        <x:v>3.5</x:v>
      </x:c>
      <x:c r="K31" s="9" t="n">
        <x:f>'Broad Screen'!$AE$6</x:f>
        <x:v>4</x:v>
      </x:c>
      <x:c r="L31" s="13" t="n">
        <x:f>'Broad Screen'!$AN$6</x:f>
        <x:v>45</x:v>
      </x:c>
      <x:c r="M31" s="9" t="n">
        <x:f>'Broad Screen'!$AO$6</x:f>
        <x:v>0</x:v>
      </x:c>
      <x:c r="N31" s="14" t="n">
        <x:f>'Broad Screen'!$AQ$6</x:f>
        <x:v>1.8571428571428572</x:v>
      </x:c>
      <x:c r="O31" s="9" t="n">
        <x:f>'Broad Screen'!$AS$6</x:f>
        <x:v>1</x:v>
      </x:c>
      <x:c r="P31" s="9" t="str">
        <x:v>Not proposed</x:v>
      </x:c>
      <x:c r="Q31" s="9" t="str"/>
    </x:row>
    <x:row r="32">
      <x:c r="A32" s="9" t="n">
        <x:v>31</x:v>
      </x:c>
      <x:c r="B32" s="9" t="str">
        <x:v>Salford</x:v>
      </x:c>
      <x:c r="C32" s="13" t="n">
        <x:f>'Broad Screen'!$AL$45</x:f>
        <x:v>64.11764705882354</x:v>
      </x:c>
      <x:c r="D32" s="10" t="n">
        <x:f>'Broad Screen'!$O$45</x:f>
        <x:v>886</x:v>
      </x:c>
      <x:c r="E32" s="9" t="n">
        <x:f>'Broad Screen'!$Q$45</x:f>
        <x:v>1</x:v>
      </x:c>
      <x:c r="F32" s="9" t="n">
        <x:f>'Broad Screen'!$I$45</x:f>
        <x:v>0</x:v>
      </x:c>
      <x:c r="G32" s="9" t="n">
        <x:f>'Broad Screen'!$Y$45</x:f>
        <x:v>5</x:v>
      </x:c>
      <x:c r="H32" s="9" t="n">
        <x:f>'Broad Screen'!$AI$45</x:f>
        <x:v>3</x:v>
      </x:c>
      <x:c r="I32" s="9" t="n">
        <x:f>'Broad Screen'!$AG$45</x:f>
        <x:v>2</x:v>
      </x:c>
      <x:c r="J32" s="9" t="n">
        <x:f>'Broad Screen'!$X$45</x:f>
        <x:v>4.5</x:v>
      </x:c>
      <x:c r="K32" s="9" t="n">
        <x:f>'Broad Screen'!$AE$45</x:f>
        <x:v>4</x:v>
      </x:c>
      <x:c r="L32" s="13" t="n">
        <x:f>'Broad Screen'!$AN$45</x:f>
        <x:v>41.25</x:v>
      </x:c>
      <x:c r="M32" s="9" t="n">
        <x:f>'Broad Screen'!$AO$45</x:f>
        <x:v>0</x:v>
      </x:c>
      <x:c r="N32" s="14" t="n">
        <x:f>'Broad Screen'!$AQ$45</x:f>
        <x:v>1.7142857142857142</x:v>
      </x:c>
      <x:c r="O32" s="9" t="n">
        <x:f>'Broad Screen'!$AS$45</x:f>
        <x:v>1</x:v>
      </x:c>
      <x:c r="P32" s="9" t="str">
        <x:v>Not proposed</x:v>
      </x:c>
      <x:c r="Q32" s="9" t="str"/>
    </x:row>
    <x:row r="33">
      <x:c r="A33" s="9" t="n">
        <x:v>32</x:v>
      </x:c>
      <x:c r="B33" s="9" t="str">
        <x:v>Barnsley</x:v>
      </x:c>
      <x:c r="C33" s="13" t="n">
        <x:f>'Broad Screen'!$AL$2</x:f>
        <x:v>63.5</x:v>
      </x:c>
      <x:c r="D33" s="10" t="n">
        <x:f>'Broad Screen'!$O$2</x:f>
        <x:v>505</x:v>
      </x:c>
      <x:c r="E33" s="9" t="n">
        <x:f>'Broad Screen'!$Q$2</x:f>
        <x:v>5</x:v>
      </x:c>
      <x:c r="F33" s="9" t="n">
        <x:f>'Broad Screen'!$I$2</x:f>
        <x:v>4</x:v>
      </x:c>
      <x:c r="G33" s="9" t="n">
        <x:f>'Broad Screen'!$Y$2</x:f>
        <x:v>3</x:v>
      </x:c>
      <x:c r="H33" s="9" t="n">
        <x:f>'Broad Screen'!$AI$2</x:f>
        <x:v>2</x:v>
      </x:c>
      <x:c r="I33" s="9" t="n">
        <x:f>'Broad Screen'!$AG$2</x:f>
        <x:v>3</x:v>
      </x:c>
      <x:c r="J33" s="9" t="n">
        <x:f>'Broad Screen'!$X$2</x:f>
        <x:v>1.5</x:v>
      </x:c>
      <x:c r="K33" s="9" t="n">
        <x:f>'Broad Screen'!$AE$2</x:f>
        <x:v>4</x:v>
      </x:c>
      <x:c r="L33" s="13" t="n">
        <x:f>'Broad Screen'!$AN$2</x:f>
        <x:v>51</x:v>
      </x:c>
      <x:c r="M33" s="9" t="n">
        <x:f>'Broad Screen'!$AO$2</x:f>
        <x:v>0</x:v>
      </x:c>
      <x:c r="N33" s="14" t="n">
        <x:f>'Broad Screen'!$AQ$2</x:f>
        <x:v>2</x:v>
      </x:c>
      <x:c r="O33" s="9" t="n">
        <x:f>'Broad Screen'!$AS$2</x:f>
        <x:v>0</x:v>
      </x:c>
      <x:c r="P33" s="9" t="str">
        <x:v>Proposed</x:v>
      </x:c>
      <x:c r="Q33" s="9" t="str">
        <x:v>Buy</x:v>
      </x:c>
    </x:row>
    <x:row r="34">
      <x:c r="A34" s="9" t="n">
        <x:v>33</x:v>
      </x:c>
      <x:c r="B34" s="9" t="str">
        <x:v>Telford</x:v>
      </x:c>
      <x:c r="C34" s="13" t="n">
        <x:f>'Broad Screen'!$AL$56</x:f>
        <x:v>63.5</x:v>
      </x:c>
      <x:c r="D34" s="10" t="n">
        <x:f>'Broad Screen'!$O$56</x:f>
        <x:v>600</x:v>
      </x:c>
      <x:c r="E34" s="9" t="n">
        <x:f>'Broad Screen'!$Q$56</x:f>
        <x:v>3</x:v>
      </x:c>
      <x:c r="F34" s="9" t="n">
        <x:f>'Broad Screen'!$I$56</x:f>
        <x:v>5</x:v>
      </x:c>
      <x:c r="G34" s="9" t="n">
        <x:f>'Broad Screen'!$Y$56</x:f>
        <x:v>3</x:v>
      </x:c>
      <x:c r="H34" s="9" t="n">
        <x:f>'Broad Screen'!$AI$56</x:f>
        <x:v>3</x:v>
      </x:c>
      <x:c r="I34" s="9" t="n">
        <x:f>'Broad Screen'!$AG$56</x:f>
        <x:v>3</x:v>
      </x:c>
      <x:c r="J34" s="9" t="n">
        <x:f>'Broad Screen'!$X$56</x:f>
        <x:v>1.5</x:v>
      </x:c>
      <x:c r="K34" s="9" t="n">
        <x:f>'Broad Screen'!$AE$56</x:f>
        <x:v>4</x:v>
      </x:c>
      <x:c r="L34" s="13" t="n">
        <x:f>'Broad Screen'!$AN$56</x:f>
        <x:v>51</x:v>
      </x:c>
      <x:c r="M34" s="9" t="n">
        <x:f>'Broad Screen'!$AO$56</x:f>
        <x:v>0</x:v>
      </x:c>
      <x:c r="N34" s="14" t="n">
        <x:f>'Broad Screen'!$AQ$56</x:f>
        <x:v>2</x:v>
      </x:c>
      <x:c r="O34" s="9" t="n">
        <x:f>'Broad Screen'!$AS$56</x:f>
        <x:v>0</x:v>
      </x:c>
      <x:c r="P34" s="9" t="str">
        <x:v>Proposed</x:v>
      </x:c>
      <x:c r="Q34" s="9" t="str">
        <x:v>Buy</x:v>
      </x:c>
    </x:row>
    <x:row r="35">
      <x:c r="A35" s="9" t="n">
        <x:v>34</x:v>
      </x:c>
      <x:c r="B35" s="9" t="str">
        <x:v>Ipswich</x:v>
      </x:c>
      <x:c r="C35" s="13" t="n">
        <x:f>'Broad Screen'!$AL$23</x:f>
        <x:v>63.5</x:v>
      </x:c>
      <x:c r="D35" s="10" t="n">
        <x:f>'Broad Screen'!$O$23</x:f>
        <x:v>743</x:v>
      </x:c>
      <x:c r="E35" s="9" t="n">
        <x:f>'Broad Screen'!$Q$23</x:f>
        <x:v>1</x:v>
      </x:c>
      <x:c r="F35" s="9" t="n">
        <x:f>'Broad Screen'!$I$23</x:f>
        <x:v>4</x:v>
      </x:c>
      <x:c r="G35" s="9" t="n">
        <x:f>'Broad Screen'!$Y$23</x:f>
        <x:v>4</x:v>
      </x:c>
      <x:c r="H35" s="9" t="n">
        <x:f>'Broad Screen'!$AI$23</x:f>
        <x:v>3</x:v>
      </x:c>
      <x:c r="I35" s="9" t="n">
        <x:f>'Broad Screen'!$AG$23</x:f>
        <x:v>3</x:v>
      </x:c>
      <x:c r="J35" s="9" t="n">
        <x:f>'Broad Screen'!$X$23</x:f>
        <x:v>3.5</x:v>
      </x:c>
      <x:c r="K35" s="9" t="n">
        <x:f>'Broad Screen'!$AE$23</x:f>
        <x:v>4</x:v>
      </x:c>
      <x:c r="L35" s="13" t="n">
        <x:f>'Broad Screen'!$AN$23</x:f>
        <x:v>45</x:v>
      </x:c>
      <x:c r="M35" s="9" t="n">
        <x:f>'Broad Screen'!$AO$23</x:f>
        <x:v>0</x:v>
      </x:c>
      <x:c r="N35" s="14" t="n">
        <x:f>'Broad Screen'!$AQ$23</x:f>
        <x:v>1.8571428571428572</x:v>
      </x:c>
      <x:c r="O35" s="9" t="n">
        <x:f>'Broad Screen'!$AS$23</x:f>
        <x:v>0</x:v>
      </x:c>
      <x:c r="P35" s="9" t="str">
        <x:v>Not proposed</x:v>
      </x:c>
      <x:c r="Q35" s="9" t="str"/>
    </x:row>
    <x:row r="36">
      <x:c r="A36" s="9" t="n">
        <x:v>35</x:v>
      </x:c>
      <x:c r="B36" s="9" t="str">
        <x:v>Cardiff</x:v>
      </x:c>
      <x:c r="C36" s="13" t="n">
        <x:f>'Broad Screen'!$AL$10</x:f>
        <x:v>63.5</x:v>
      </x:c>
      <x:c r="D36" s="10" t="n">
        <x:f>'Broad Screen'!$O$10</x:f>
        <x:v>902</x:v>
      </x:c>
      <x:c r="E36" s="9" t="n">
        <x:f>'Broad Screen'!$Q$10</x:f>
        <x:v>1</x:v>
      </x:c>
      <x:c r="F36" s="9" t="n">
        <x:f>'Broad Screen'!$I$10</x:f>
        <x:v>2</x:v>
      </x:c>
      <x:c r="G36" s="9" t="n">
        <x:f>'Broad Screen'!$Y$10</x:f>
        <x:v>5</x:v>
      </x:c>
      <x:c r="H36" s="9" t="n">
        <x:f>'Broad Screen'!$AI$10</x:f>
        <x:v>4</x:v>
      </x:c>
      <x:c r="I36" s="9" t="n">
        <x:f>'Broad Screen'!$AG$10</x:f>
        <x:v>2</x:v>
      </x:c>
      <x:c r="J36" s="9" t="n">
        <x:f>'Broad Screen'!$X$10</x:f>
        <x:v>4.5</x:v>
      </x:c>
      <x:c r="K36" s="9" t="n">
        <x:f>'Broad Screen'!$AE$10</x:f>
        <x:v>4</x:v>
      </x:c>
      <x:c r="L36" s="13" t="n">
        <x:f>'Broad Screen'!$AN$10</x:f>
        <x:v>42</x:v>
      </x:c>
      <x:c r="M36" s="9" t="n">
        <x:f>'Broad Screen'!$AO$10</x:f>
        <x:v>0</x:v>
      </x:c>
      <x:c r="N36" s="14" t="n">
        <x:f>'Broad Screen'!$AQ$10</x:f>
        <x:v>2.142857142857143</x:v>
      </x:c>
      <x:c r="O36" s="9" t="n">
        <x:f>'Broad Screen'!$AS$10</x:f>
        <x:v>0</x:v>
      </x:c>
      <x:c r="P36" s="9" t="str">
        <x:v>Not proposed</x:v>
      </x:c>
      <x:c r="Q36" s="9" t="str"/>
    </x:row>
    <x:row r="37">
      <x:c r="A37" s="9" t="n">
        <x:v>36</x:v>
      </x:c>
      <x:c r="B37" s="9" t="str">
        <x:v>Leeds</x:v>
      </x:c>
      <x:c r="C37" s="13" t="n">
        <x:f>'Broad Screen'!$AL$26</x:f>
        <x:v>63.5</x:v>
      </x:c>
      <x:c r="D37" s="10" t="n">
        <x:f>'Broad Screen'!$O$26</x:f>
        <x:v>779</x:v>
      </x:c>
      <x:c r="E37" s="9" t="n">
        <x:f>'Broad Screen'!$Q$26</x:f>
        <x:v>1</x:v>
      </x:c>
      <x:c r="F37" s="9" t="n">
        <x:f>'Broad Screen'!$I$26</x:f>
        <x:v>2</x:v>
      </x:c>
      <x:c r="G37" s="9" t="n">
        <x:f>'Broad Screen'!$Y$26</x:f>
        <x:v>5</x:v>
      </x:c>
      <x:c r="H37" s="9" t="n">
        <x:f>'Broad Screen'!$AI$26</x:f>
        <x:v>4</x:v>
      </x:c>
      <x:c r="I37" s="9" t="n">
        <x:f>'Broad Screen'!$AG$26</x:f>
        <x:v>2</x:v>
      </x:c>
      <x:c r="J37" s="9" t="n">
        <x:f>'Broad Screen'!$X$26</x:f>
        <x:v>4.5</x:v>
      </x:c>
      <x:c r="K37" s="9" t="n">
        <x:f>'Broad Screen'!$AE$26</x:f>
        <x:v>4</x:v>
      </x:c>
      <x:c r="L37" s="13" t="n">
        <x:f>'Broad Screen'!$AN$26</x:f>
        <x:v>42</x:v>
      </x:c>
      <x:c r="M37" s="9" t="n">
        <x:f>'Broad Screen'!$AO$26</x:f>
        <x:v>0</x:v>
      </x:c>
      <x:c r="N37" s="14" t="n">
        <x:f>'Broad Screen'!$AQ$26</x:f>
        <x:v>2.142857142857143</x:v>
      </x:c>
      <x:c r="O37" s="9" t="n">
        <x:f>'Broad Screen'!$AS$26</x:f>
        <x:v>0</x:v>
      </x:c>
      <x:c r="P37" s="9" t="str">
        <x:v>Not proposed</x:v>
      </x:c>
      <x:c r="Q37" s="9" t="str"/>
    </x:row>
    <x:row r="38">
      <x:c r="A38" s="9" t="n">
        <x:v>37</x:v>
      </x:c>
      <x:c r="B38" s="9" t="str">
        <x:v>Sunderland</x:v>
      </x:c>
      <x:c r="C38" s="13" t="n">
        <x:f>'Broad Screen'!$AL$53</x:f>
        <x:v>62.5</x:v>
      </x:c>
      <x:c r="D38" s="10" t="n">
        <x:f>'Broad Screen'!$O$53</x:f>
        <x:v>521</x:v>
      </x:c>
      <x:c r="E38" s="9" t="n">
        <x:f>'Broad Screen'!$Q$53</x:f>
        <x:v>5</x:v>
      </x:c>
      <x:c r="F38" s="9" t="n">
        <x:f>'Broad Screen'!$I$53</x:f>
        <x:v>3</x:v>
      </x:c>
      <x:c r="G38" s="9" t="n">
        <x:f>'Broad Screen'!$Y$53</x:f>
        <x:v>4</x:v>
      </x:c>
      <x:c r="H38" s="9" t="n">
        <x:f>'Broad Screen'!$AI$53</x:f>
        <x:v>3</x:v>
      </x:c>
      <x:c r="I38" s="9" t="n">
        <x:f>'Broad Screen'!$AG$53</x:f>
        <x:v>2</x:v>
      </x:c>
      <x:c r="J38" s="9" t="n">
        <x:f>'Broad Screen'!$X$53</x:f>
        <x:v>2.5</x:v>
      </x:c>
      <x:c r="K38" s="9" t="n">
        <x:f>'Broad Screen'!$AE$53</x:f>
        <x:v>2</x:v>
      </x:c>
      <x:c r="L38" s="13" t="n">
        <x:f>'Broad Screen'!$AN$53</x:f>
        <x:v>51</x:v>
      </x:c>
      <x:c r="M38" s="9" t="n">
        <x:f>'Broad Screen'!$AO$53</x:f>
        <x:v>0</x:v>
      </x:c>
      <x:c r="N38" s="14" t="n">
        <x:f>'Broad Screen'!$AQ$53</x:f>
        <x:v>1.8571428571428572</x:v>
      </x:c>
      <x:c r="O38" s="9" t="n">
        <x:f>'Broad Screen'!$AS$53</x:f>
        <x:v>0</x:v>
      </x:c>
      <x:c r="P38" s="9" t="str">
        <x:v>Not proposed</x:v>
      </x:c>
      <x:c r="Q38" s="9" t="str"/>
    </x:row>
    <x:row r="39">
      <x:c r="A39" s="9" t="n">
        <x:v>38</x:v>
      </x:c>
      <x:c r="B39" s="9" t="str">
        <x:v>Walsall</x:v>
      </x:c>
      <x:c r="C39" s="13" t="n">
        <x:f>'Broad Screen'!$AL$59</x:f>
        <x:v>62.5</x:v>
      </x:c>
      <x:c r="D39" s="10" t="n">
        <x:f>'Broad Screen'!$O$59</x:f>
        <x:v>648</x:v>
      </x:c>
      <x:c r="E39" s="9" t="n">
        <x:f>'Broad Screen'!$Q$59</x:f>
        <x:v>3</x:v>
      </x:c>
      <x:c r="F39" s="9" t="n">
        <x:f>'Broad Screen'!$I$59</x:f>
        <x:v>4</x:v>
      </x:c>
      <x:c r="G39" s="9" t="n">
        <x:f>'Broad Screen'!$Y$59</x:f>
        <x:v>4</x:v>
      </x:c>
      <x:c r="H39" s="9" t="n">
        <x:f>'Broad Screen'!$AI$59</x:f>
        <x:v>2</x:v>
      </x:c>
      <x:c r="I39" s="9" t="n">
        <x:f>'Broad Screen'!$AG$59</x:f>
        <x:v>2</x:v>
      </x:c>
      <x:c r="J39" s="9" t="n">
        <x:f>'Broad Screen'!$X$59</x:f>
        <x:v>2.5</x:v>
      </x:c>
      <x:c r="K39" s="9" t="n">
        <x:f>'Broad Screen'!$AE$59</x:f>
        <x:v>5</x:v>
      </x:c>
      <x:c r="L39" s="13" t="n">
        <x:f>'Broad Screen'!$AN$59</x:f>
        <x:v>45</x:v>
      </x:c>
      <x:c r="M39" s="9" t="n">
        <x:f>'Broad Screen'!$AO$59</x:f>
        <x:v>0</x:v>
      </x:c>
      <x:c r="N39" s="14" t="n">
        <x:f>'Broad Screen'!$AQ$59</x:f>
        <x:v>2</x:v>
      </x:c>
      <x:c r="O39" s="9" t="n">
        <x:f>'Broad Screen'!$AS$59</x:f>
        <x:v>0</x:v>
      </x:c>
      <x:c r="P39" s="9" t="str">
        <x:v>Not proposed</x:v>
      </x:c>
      <x:c r="Q39" s="9" t="str"/>
    </x:row>
    <x:row r="40">
      <x:c r="A40" s="9" t="n">
        <x:v>39</x:v>
      </x:c>
      <x:c r="B40" s="9" t="str">
        <x:v>Birmingham</x:v>
      </x:c>
      <x:c r="C40" s="13" t="n">
        <x:f>'Broad Screen'!$AL$3</x:f>
        <x:v>62.5</x:v>
      </x:c>
      <x:c r="D40" s="10" t="n">
        <x:f>'Broad Screen'!$O$3</x:f>
        <x:v>825</x:v>
      </x:c>
      <x:c r="E40" s="9" t="n">
        <x:f>'Broad Screen'!$Q$3</x:f>
        <x:v>1</x:v>
      </x:c>
      <x:c r="F40" s="9" t="n">
        <x:f>'Broad Screen'!$I$3</x:f>
        <x:v>2</x:v>
      </x:c>
      <x:c r="G40" s="9" t="n">
        <x:f>'Broad Screen'!$Y$3</x:f>
        <x:v>5</x:v>
      </x:c>
      <x:c r="H40" s="9" t="n">
        <x:f>'Broad Screen'!$AI$3</x:f>
        <x:v>3</x:v>
      </x:c>
      <x:c r="I40" s="9" t="n">
        <x:f>'Broad Screen'!$AG$3</x:f>
        <x:v>2</x:v>
      </x:c>
      <x:c r="J40" s="9" t="n">
        <x:f>'Broad Screen'!$X$3</x:f>
        <x:v>4.5</x:v>
      </x:c>
      <x:c r="K40" s="9" t="n">
        <x:f>'Broad Screen'!$AE$3</x:f>
        <x:v>5</x:v>
      </x:c>
      <x:c r="L40" s="13" t="n">
        <x:f>'Broad Screen'!$AN$3</x:f>
        <x:v>39</x:v>
      </x:c>
      <x:c r="M40" s="9" t="n">
        <x:f>'Broad Screen'!$AO$3</x:f>
        <x:v>0</x:v>
      </x:c>
      <x:c r="N40" s="14" t="n">
        <x:f>'Broad Screen'!$AQ$3</x:f>
        <x:v>2</x:v>
      </x:c>
      <x:c r="O40" s="9" t="n">
        <x:f>'Broad Screen'!$AS$3</x:f>
        <x:v>0</x:v>
      </x:c>
      <x:c r="P40" s="9" t="str">
        <x:v>Not proposed</x:v>
      </x:c>
      <x:c r="Q40" s="9" t="str"/>
    </x:row>
    <x:row r="41">
      <x:c r="A41" s="9" t="n">
        <x:v>40</x:v>
      </x:c>
      <x:c r="B41" s="9" t="str">
        <x:v>Nottingham</x:v>
      </x:c>
      <x:c r="C41" s="13" t="n">
        <x:f>'Broad Screen'!$AL$39</x:f>
        <x:v>62.5</x:v>
      </x:c>
      <x:c r="D41" s="10" t="n">
        <x:f>'Broad Screen'!$O$39</x:f>
        <x:v>734</x:v>
      </x:c>
      <x:c r="E41" s="9" t="n">
        <x:f>'Broad Screen'!$Q$39</x:f>
        <x:v>1</x:v>
      </x:c>
      <x:c r="F41" s="9" t="n">
        <x:f>'Broad Screen'!$I$39</x:f>
        <x:v>1</x:v>
      </x:c>
      <x:c r="G41" s="9" t="n">
        <x:f>'Broad Screen'!$Y$39</x:f>
        <x:v>5</x:v>
      </x:c>
      <x:c r="H41" s="9" t="n">
        <x:f>'Broad Screen'!$AI$39</x:f>
        <x:v>4</x:v>
      </x:c>
      <x:c r="I41" s="9" t="n">
        <x:f>'Broad Screen'!$AG$39</x:f>
        <x:v>2</x:v>
      </x:c>
      <x:c r="J41" s="9" t="n">
        <x:f>'Broad Screen'!$X$39</x:f>
        <x:v>4.5</x:v>
      </x:c>
      <x:c r="K41" s="9" t="n">
        <x:f>'Broad Screen'!$AE$39</x:f>
        <x:v>5</x:v>
      </x:c>
      <x:c r="L41" s="13" t="n">
        <x:f>'Broad Screen'!$AN$39</x:f>
        <x:v>39</x:v>
      </x:c>
      <x:c r="M41" s="9" t="n">
        <x:f>'Broad Screen'!$AO$39</x:f>
        <x:v>1</x:v>
      </x:c>
      <x:c r="N41" s="14" t="n">
        <x:f>'Broad Screen'!$AQ$39</x:f>
        <x:v>2.142857142857143</x:v>
      </x:c>
      <x:c r="O41" s="9" t="n">
        <x:f>'Broad Screen'!$AS$39</x:f>
        <x:v>0</x:v>
      </x:c>
      <x:c r="P41" s="9" t="str">
        <x:v>Not proposed</x:v>
      </x:c>
      <x:c r="Q41" s="9" t="str"/>
    </x:row>
    <x:row r="42">
      <x:c r="A42" s="9" t="n">
        <x:v>41</x:v>
      </x:c>
      <x:c r="B42" s="9" t="str">
        <x:v>Swansea</x:v>
      </x:c>
      <x:c r="C42" s="13" t="n">
        <x:f>'Broad Screen'!$AL$54</x:f>
        <x:v>61.5</x:v>
      </x:c>
      <x:c r="D42" s="10" t="n">
        <x:f>'Broad Screen'!$O$54</x:f>
        <x:v>684</x:v>
      </x:c>
      <x:c r="E42" s="9" t="n">
        <x:f>'Broad Screen'!$Q$54</x:f>
        <x:v>3</x:v>
      </x:c>
      <x:c r="F42" s="9" t="n">
        <x:f>'Broad Screen'!$I$54</x:f>
        <x:v>3</x:v>
      </x:c>
      <x:c r="G42" s="9" t="n">
        <x:f>'Broad Screen'!$Y$54</x:f>
        <x:v>4</x:v>
      </x:c>
      <x:c r="H42" s="9" t="n">
        <x:f>'Broad Screen'!$AI$54</x:f>
        <x:v>4</x:v>
      </x:c>
      <x:c r="I42" s="9" t="n">
        <x:f>'Broad Screen'!$AG$54</x:f>
        <x:v>3</x:v>
      </x:c>
      <x:c r="J42" s="9" t="n">
        <x:f>'Broad Screen'!$X$54</x:f>
        <x:v>1.5</x:v>
      </x:c>
      <x:c r="K42" s="9" t="n">
        <x:f>'Broad Screen'!$AE$54</x:f>
        <x:v>3</x:v>
      </x:c>
      <x:c r="L42" s="13" t="n">
        <x:f>'Broad Screen'!$AN$54</x:f>
        <x:v>51</x:v>
      </x:c>
      <x:c r="M42" s="9" t="n">
        <x:f>'Broad Screen'!$AO$54</x:f>
        <x:v>0</x:v>
      </x:c>
      <x:c r="N42" s="14" t="n">
        <x:f>'Broad Screen'!$AQ$54</x:f>
        <x:v>2.142857142857143</x:v>
      </x:c>
      <x:c r="O42" s="9" t="n">
        <x:f>'Broad Screen'!$AS$54</x:f>
        <x:v>0</x:v>
      </x:c>
      <x:c r="P42" s="9" t="str">
        <x:v>Not proposed</x:v>
      </x:c>
      <x:c r="Q42" s="9" t="str"/>
    </x:row>
    <x:row r="43">
      <x:c r="A43" s="9" t="n">
        <x:v>42</x:v>
      </x:c>
      <x:c r="B43" s="9" t="str">
        <x:v>Stockton-on-Tees</x:v>
      </x:c>
      <x:c r="C43" s="13" t="n">
        <x:f>'Broad Screen'!$AL$51</x:f>
        <x:v>61.5</x:v>
      </x:c>
      <x:c r="D43" s="10" t="n">
        <x:f>'Broad Screen'!$O$51</x:f>
        <x:v>537</x:v>
      </x:c>
      <x:c r="E43" s="9" t="n">
        <x:f>'Broad Screen'!$Q$51</x:f>
        <x:v>5</x:v>
      </x:c>
      <x:c r="F43" s="9" t="n">
        <x:f>'Broad Screen'!$I$51</x:f>
        <x:v>3</x:v>
      </x:c>
      <x:c r="G43" s="9" t="n">
        <x:f>'Broad Screen'!$Y$51</x:f>
        <x:v>3</x:v>
      </x:c>
      <x:c r="H43" s="9" t="n">
        <x:f>'Broad Screen'!$AI$51</x:f>
        <x:v>3</x:v>
      </x:c>
      <x:c r="I43" s="9" t="n">
        <x:f>'Broad Screen'!$AG$51</x:f>
        <x:v>2</x:v>
      </x:c>
      <x:c r="J43" s="9" t="n">
        <x:f>'Broad Screen'!$X$51</x:f>
        <x:v>2.5</x:v>
      </x:c>
      <x:c r="K43" s="9" t="n">
        <x:f>'Broad Screen'!$AE$51</x:f>
        <x:v>3</x:v>
      </x:c>
      <x:c r="L43" s="13" t="n">
        <x:f>'Broad Screen'!$AN$51</x:f>
        <x:v>48</x:v>
      </x:c>
      <x:c r="M43" s="9" t="n">
        <x:f>'Broad Screen'!$AO$51</x:f>
        <x:v>0</x:v>
      </x:c>
      <x:c r="N43" s="14" t="n">
        <x:f>'Broad Screen'!$AQ$51</x:f>
        <x:v>1.7142857142857142</x:v>
      </x:c>
      <x:c r="O43" s="9" t="n">
        <x:f>'Broad Screen'!$AS$51</x:f>
        <x:v>0</x:v>
      </x:c>
      <x:c r="P43" s="9" t="str">
        <x:v>Not proposed</x:v>
      </x:c>
      <x:c r="Q43" s="9" t="str"/>
    </x:row>
    <x:row r="44">
      <x:c r="A44" s="9" t="n">
        <x:v>43</x:v>
      </x:c>
      <x:c r="B44" s="9" t="str">
        <x:v>Bradford</x:v>
      </x:c>
      <x:c r="C44" s="13" t="n">
        <x:f>'Broad Screen'!$AL$7</x:f>
        <x:v>61.5</x:v>
      </x:c>
      <x:c r="D44" s="10" t="n">
        <x:f>'Broad Screen'!$O$7</x:f>
        <x:v>553</x:v>
      </x:c>
      <x:c r="E44" s="9" t="n">
        <x:f>'Broad Screen'!$Q$7</x:f>
        <x:v>5</x:v>
      </x:c>
      <x:c r="F44" s="9" t="n">
        <x:f>'Broad Screen'!$I$7</x:f>
        <x:v>2</x:v>
      </x:c>
      <x:c r="G44" s="9" t="n">
        <x:f>'Broad Screen'!$Y$7</x:f>
        <x:v>4</x:v>
      </x:c>
      <x:c r="H44" s="9" t="n">
        <x:f>'Broad Screen'!$AI$7</x:f>
        <x:v>2</x:v>
      </x:c>
      <x:c r="I44" s="9" t="n">
        <x:f>'Broad Screen'!$AG$7</x:f>
        <x:v>2</x:v>
      </x:c>
      <x:c r="J44" s="9" t="n">
        <x:f>'Broad Screen'!$X$7</x:f>
        <x:v>3.5</x:v>
      </x:c>
      <x:c r="K44" s="9" t="n">
        <x:f>'Broad Screen'!$AE$7</x:f>
        <x:v>3</x:v>
      </x:c>
      <x:c r="L44" s="13" t="n">
        <x:f>'Broad Screen'!$AN$7</x:f>
        <x:v>45</x:v>
      </x:c>
      <x:c r="M44" s="9" t="n">
        <x:f>'Broad Screen'!$AO$7</x:f>
        <x:v>0</x:v>
      </x:c>
      <x:c r="N44" s="14" t="n">
        <x:f>'Broad Screen'!$AQ$7</x:f>
        <x:v>2</x:v>
      </x:c>
      <x:c r="O44" s="9" t="n">
        <x:f>'Broad Screen'!$AS$7</x:f>
        <x:v>0</x:v>
      </x:c>
      <x:c r="P44" s="9" t="str">
        <x:v>Not proposed</x:v>
      </x:c>
      <x:c r="Q44" s="9" t="str"/>
    </x:row>
    <x:row r="45">
      <x:c r="A45" s="9" t="n">
        <x:v>44</x:v>
      </x:c>
      <x:c r="B45" s="9" t="str">
        <x:v>Merthyr Tydfil</x:v>
      </x:c>
      <x:c r="C45" s="13" t="n">
        <x:f>'Broad Screen'!$AL$32</x:f>
        <x:v>61</x:v>
      </x:c>
      <x:c r="D45" s="10" t="n">
        <x:f>'Broad Screen'!$O$32</x:f>
        <x:v>552</x:v>
      </x:c>
      <x:c r="E45" s="9" t="n">
        <x:f>'Broad Screen'!$Q$32</x:f>
        <x:v>5</x:v>
      </x:c>
      <x:c r="F45" s="9" t="n">
        <x:f>'Broad Screen'!$I$32</x:f>
        <x:v>5</x:v>
      </x:c>
      <x:c r="G45" s="9" t="n">
        <x:f>'Broad Screen'!$Y$32</x:f>
        <x:v>3</x:v>
      </x:c>
      <x:c r="H45" s="9" t="n">
        <x:f>'Broad Screen'!$AI$32</x:f>
        <x:v>2</x:v>
      </x:c>
      <x:c r="I45" s="9" t="n">
        <x:f>'Broad Screen'!$AG$32</x:f>
        <x:v>3</x:v>
      </x:c>
      <x:c r="J45" s="9" t="n">
        <x:f>'Broad Screen'!$X$32</x:f>
        <x:v>1</x:v>
      </x:c>
      <x:c r="K45" s="9" t="n">
        <x:f>'Broad Screen'!$AE$32</x:f>
        <x:v>2</x:v>
      </x:c>
      <x:c r="L45" s="13" t="n">
        <x:f>'Broad Screen'!$AN$32</x:f>
        <x:v>54</x:v>
      </x:c>
      <x:c r="M45" s="9" t="n">
        <x:f>'Broad Screen'!$AO$32</x:f>
        <x:v>0</x:v>
      </x:c>
      <x:c r="N45" s="14" t="n">
        <x:f>'Broad Screen'!$AQ$32</x:f>
        <x:v>1.8571428571428572</x:v>
      </x:c>
      <x:c r="O45" s="9" t="n">
        <x:f>'Broad Screen'!$AS$32</x:f>
        <x:v>0</x:v>
      </x:c>
      <x:c r="P45" s="9" t="str">
        <x:v>Not proposed</x:v>
      </x:c>
      <x:c r="Q45" s="9" t="str"/>
    </x:row>
    <x:row r="46">
      <x:c r="A46" s="9" t="n">
        <x:v>45</x:v>
      </x:c>
      <x:c r="B46" s="9" t="str">
        <x:v>Stockport</x:v>
      </x:c>
      <x:c r="C46" s="13" t="n">
        <x:f>'Broad Screen'!$AL$50</x:f>
        <x:v>60.588235294117645</x:v>
      </x:c>
      <x:c r="D46" s="10" t="n">
        <x:f>'Broad Screen'!$O$50</x:f>
        <x:v>807</x:v>
      </x:c>
      <x:c r="E46" s="9" t="n">
        <x:f>'Broad Screen'!$Q$50</x:f>
        <x:v>1</x:v>
      </x:c>
      <x:c r="F46" s="9" t="n">
        <x:f>'Broad Screen'!$I$50</x:f>
        <x:v>0</x:v>
      </x:c>
      <x:c r="G46" s="9" t="n">
        <x:f>'Broad Screen'!$Y$50</x:f>
        <x:v>4</x:v>
      </x:c>
      <x:c r="H46" s="9" t="n">
        <x:f>'Broad Screen'!$AI$50</x:f>
        <x:v>4</x:v>
      </x:c>
      <x:c r="I46" s="9" t="n">
        <x:f>'Broad Screen'!$AG$50</x:f>
        <x:v>2</x:v>
      </x:c>
      <x:c r="J46" s="9" t="n">
        <x:f>'Broad Screen'!$X$50</x:f>
        <x:v>3.5</x:v>
      </x:c>
      <x:c r="K46" s="9" t="n">
        <x:f>'Broad Screen'!$AE$50</x:f>
        <x:v>4</x:v>
      </x:c>
      <x:c r="L46" s="13" t="n">
        <x:f>'Broad Screen'!$AN$50</x:f>
        <x:v>41.25</x:v>
      </x:c>
      <x:c r="M46" s="9" t="n">
        <x:f>'Broad Screen'!$AO$50</x:f>
        <x:v>0</x:v>
      </x:c>
      <x:c r="N46" s="14" t="n">
        <x:f>'Broad Screen'!$AQ$50</x:f>
        <x:v>2</x:v>
      </x:c>
      <x:c r="O46" s="9" t="n">
        <x:f>'Broad Screen'!$AS$50</x:f>
        <x:v>1</x:v>
      </x:c>
      <x:c r="P46" s="9" t="str">
        <x:v>Not proposed</x:v>
      </x:c>
      <x:c r="Q46" s="9" t="str"/>
    </x:row>
    <x:row r="47">
      <x:c r="A47" s="9" t="n">
        <x:v>46</x:v>
      </x:c>
      <x:c r="B47" s="9" t="str">
        <x:v>Wrexham</x:v>
      </x:c>
      <x:c r="C47" s="13" t="n">
        <x:f>'Broad Screen'!$AL$64</x:f>
        <x:v>60.5</x:v>
      </x:c>
      <x:c r="D47" s="10" t="n">
        <x:f>'Broad Screen'!$O$64</x:f>
        <x:v>594</x:v>
      </x:c>
      <x:c r="E47" s="9" t="n">
        <x:f>'Broad Screen'!$Q$64</x:f>
        <x:v>3</x:v>
      </x:c>
      <x:c r="F47" s="9" t="n">
        <x:f>'Broad Screen'!$I$64</x:f>
        <x:v>4</x:v>
      </x:c>
      <x:c r="G47" s="9" t="n">
        <x:f>'Broad Screen'!$Y$64</x:f>
        <x:v>3</x:v>
      </x:c>
      <x:c r="H47" s="9" t="n">
        <x:f>'Broad Screen'!$AI$64</x:f>
        <x:v>3</x:v>
      </x:c>
      <x:c r="I47" s="9" t="n">
        <x:f>'Broad Screen'!$AG$64</x:f>
        <x:v>3</x:v>
      </x:c>
      <x:c r="J47" s="9" t="n">
        <x:f>'Broad Screen'!$X$64</x:f>
        <x:v>1.5</x:v>
      </x:c>
      <x:c r="K47" s="9" t="n">
        <x:f>'Broad Screen'!$AE$64</x:f>
        <x:v>4</x:v>
      </x:c>
      <x:c r="L47" s="13" t="n">
        <x:f>'Broad Screen'!$AN$64</x:f>
        <x:v>48</x:v>
      </x:c>
      <x:c r="M47" s="9" t="n">
        <x:f>'Broad Screen'!$AO$64</x:f>
        <x:v>0</x:v>
      </x:c>
      <x:c r="N47" s="14" t="n">
        <x:f>'Broad Screen'!$AQ$64</x:f>
        <x:v>2</x:v>
      </x:c>
      <x:c r="O47" s="9" t="n">
        <x:f>'Broad Screen'!$AS$64</x:f>
        <x:v>0</x:v>
      </x:c>
      <x:c r="P47" s="9" t="str">
        <x:v>Not proposed</x:v>
      </x:c>
      <x:c r="Q47" s="9" t="str"/>
    </x:row>
    <x:row r="48">
      <x:c r="A48" s="9" t="n">
        <x:v>47</x:v>
      </x:c>
      <x:c r="B48" s="9" t="str">
        <x:v>Lincoln</x:v>
      </x:c>
      <x:c r="C48" s="13" t="n">
        <x:f>'Broad Screen'!$AL$28</x:f>
        <x:v>60.5</x:v>
      </x:c>
      <x:c r="D48" s="10" t="n">
        <x:f>'Broad Screen'!$O$28</x:f>
        <x:v>661</x:v>
      </x:c>
      <x:c r="E48" s="9" t="n">
        <x:f>'Broad Screen'!$Q$28</x:f>
        <x:v>3</x:v>
      </x:c>
      <x:c r="F48" s="9" t="n">
        <x:f>'Broad Screen'!$I$28</x:f>
        <x:v>2</x:v>
      </x:c>
      <x:c r="G48" s="9" t="n">
        <x:f>'Broad Screen'!$Y$28</x:f>
        <x:v>3</x:v>
      </x:c>
      <x:c r="H48" s="9" t="n">
        <x:f>'Broad Screen'!$AI$28</x:f>
        <x:v>4</x:v>
      </x:c>
      <x:c r="I48" s="9" t="n">
        <x:f>'Broad Screen'!$AG$28</x:f>
        <x:v>3</x:v>
      </x:c>
      <x:c r="J48" s="9" t="n">
        <x:f>'Broad Screen'!$X$28</x:f>
        <x:v>2.5</x:v>
      </x:c>
      <x:c r="K48" s="9" t="n">
        <x:f>'Broad Screen'!$AE$28</x:f>
        <x:v>4</x:v>
      </x:c>
      <x:c r="L48" s="13" t="n">
        <x:f>'Broad Screen'!$AN$28</x:f>
        <x:v>45</x:v>
      </x:c>
      <x:c r="M48" s="9" t="n">
        <x:f>'Broad Screen'!$AO$28</x:f>
        <x:v>0</x:v>
      </x:c>
      <x:c r="N48" s="14" t="n">
        <x:f>'Broad Screen'!$AQ$28</x:f>
        <x:v>2</x:v>
      </x:c>
      <x:c r="O48" s="9" t="n">
        <x:f>'Broad Screen'!$AS$28</x:f>
        <x:v>0</x:v>
      </x:c>
      <x:c r="P48" s="9" t="str">
        <x:v>Not proposed</x:v>
      </x:c>
      <x:c r="Q48" s="9" t="str"/>
    </x:row>
    <x:row r="49">
      <x:c r="A49" s="9" t="n">
        <x:v>48</x:v>
      </x:c>
      <x:c r="B49" s="9" t="str">
        <x:v>Coventry</x:v>
      </x:c>
      <x:c r="C49" s="13" t="n">
        <x:f>'Broad Screen'!$AL$13</x:f>
        <x:v>59.5</x:v>
      </x:c>
      <x:c r="D49" s="10" t="n">
        <x:f>'Broad Screen'!$O$13</x:f>
        <x:v>759</x:v>
      </x:c>
      <x:c r="E49" s="9" t="n">
        <x:f>'Broad Screen'!$Q$13</x:f>
        <x:v>1</x:v>
      </x:c>
      <x:c r="F49" s="9" t="n">
        <x:f>'Broad Screen'!$I$13</x:f>
        <x:v>3</x:v>
      </x:c>
      <x:c r="G49" s="9" t="n">
        <x:f>'Broad Screen'!$Y$13</x:f>
        <x:v>4</x:v>
      </x:c>
      <x:c r="H49" s="9" t="n">
        <x:f>'Broad Screen'!$AI$13</x:f>
        <x:v>3</x:v>
      </x:c>
      <x:c r="I49" s="9" t="n">
        <x:f>'Broad Screen'!$AG$13</x:f>
        <x:v>2</x:v>
      </x:c>
      <x:c r="J49" s="9" t="n">
        <x:f>'Broad Screen'!$X$13</x:f>
        <x:v>3.5</x:v>
      </x:c>
      <x:c r="K49" s="9" t="n">
        <x:f>'Broad Screen'!$AE$13</x:f>
        <x:v>5</x:v>
      </x:c>
      <x:c r="L49" s="13" t="n">
        <x:f>'Broad Screen'!$AN$13</x:f>
        <x:v>39</x:v>
      </x:c>
      <x:c r="M49" s="9" t="n">
        <x:f>'Broad Screen'!$AO$13</x:f>
        <x:v>0</x:v>
      </x:c>
      <x:c r="N49" s="14" t="n">
        <x:f>'Broad Screen'!$AQ$13</x:f>
        <x:v>2</x:v>
      </x:c>
      <x:c r="O49" s="9" t="n">
        <x:f>'Broad Screen'!$AS$13</x:f>
        <x:v>0</x:v>
      </x:c>
      <x:c r="P49" s="9" t="str">
        <x:v>Not proposed</x:v>
      </x:c>
      <x:c r="Q49" s="9" t="str"/>
    </x:row>
    <x:row r="50">
      <x:c r="A50" s="9" t="n">
        <x:v>49</x:v>
      </x:c>
      <x:c r="B50" s="9" t="str">
        <x:v>Burnley</x:v>
      </x:c>
      <x:c r="C50" s="13" t="n">
        <x:f>'Broad Screen'!$AL$8</x:f>
        <x:v>58.5</x:v>
      </x:c>
      <x:c r="D50" s="10" t="n">
        <x:f>'Broad Screen'!$O$8</x:f>
        <x:v>463</x:v>
      </x:c>
      <x:c r="E50" s="9" t="n">
        <x:f>'Broad Screen'!$Q$8</x:f>
        <x:v>5</x:v>
      </x:c>
      <x:c r="F50" s="9" t="n">
        <x:f>'Broad Screen'!$I$8</x:f>
        <x:v>3</x:v>
      </x:c>
      <x:c r="G50" s="9" t="n">
        <x:f>'Broad Screen'!$Y$8</x:f>
        <x:v>3</x:v>
      </x:c>
      <x:c r="H50" s="9" t="n">
        <x:f>'Broad Screen'!$AI$8</x:f>
        <x:v>2</x:v>
      </x:c>
      <x:c r="I50" s="9" t="n">
        <x:f>'Broad Screen'!$AG$8</x:f>
        <x:v>3</x:v>
      </x:c>
      <x:c r="J50" s="9" t="n">
        <x:f>'Broad Screen'!$X$8</x:f>
        <x:v>1.5</x:v>
      </x:c>
      <x:c r="K50" s="9" t="n">
        <x:f>'Broad Screen'!$AE$8</x:f>
        <x:v>3</x:v>
      </x:c>
      <x:c r="L50" s="13" t="n">
        <x:f>'Broad Screen'!$AN$8</x:f>
        <x:v>48</x:v>
      </x:c>
      <x:c r="M50" s="9" t="n">
        <x:f>'Broad Screen'!$AO$8</x:f>
        <x:v>0</x:v>
      </x:c>
      <x:c r="N50" s="14" t="n">
        <x:f>'Broad Screen'!$AQ$8</x:f>
        <x:v>1.8571428571428572</x:v>
      </x:c>
      <x:c r="O50" s="9" t="n">
        <x:f>'Broad Screen'!$AS$8</x:f>
        <x:v>0</x:v>
      </x:c>
      <x:c r="P50" s="9" t="str">
        <x:v>Not proposed</x:v>
      </x:c>
      <x:c r="Q50" s="9" t="str"/>
    </x:row>
    <x:row r="51">
      <x:c r="A51" s="9" t="n">
        <x:v>50</x:v>
      </x:c>
      <x:c r="B51" s="9" t="str">
        <x:v>Gateshead</x:v>
      </x:c>
      <x:c r="C51" s="13" t="n">
        <x:f>'Broad Screen'!$AL$17</x:f>
        <x:v>58.5</x:v>
      </x:c>
      <x:c r="D51" s="10" t="n">
        <x:f>'Broad Screen'!$O$17</x:f>
        <x:v>587</x:v>
      </x:c>
      <x:c r="E51" s="9" t="n">
        <x:f>'Broad Screen'!$Q$17</x:f>
        <x:v>3</x:v>
      </x:c>
      <x:c r="F51" s="9" t="n">
        <x:f>'Broad Screen'!$I$17</x:f>
        <x:v>2</x:v>
      </x:c>
      <x:c r="G51" s="9" t="n">
        <x:f>'Broad Screen'!$Y$17</x:f>
        <x:v>5</x:v>
      </x:c>
      <x:c r="H51" s="9" t="n">
        <x:f>'Broad Screen'!$AI$17</x:f>
        <x:v>3</x:v>
      </x:c>
      <x:c r="I51" s="9" t="n">
        <x:f>'Broad Screen'!$AG$17</x:f>
        <x:v>2</x:v>
      </x:c>
      <x:c r="J51" s="9" t="n">
        <x:f>'Broad Screen'!$X$17</x:f>
        <x:v>2.5</x:v>
      </x:c>
      <x:c r="K51" s="9" t="n">
        <x:f>'Broad Screen'!$AE$17</x:f>
        <x:v>3</x:v>
      </x:c>
      <x:c r="L51" s="13" t="n">
        <x:f>'Broad Screen'!$AN$17</x:f>
        <x:v>45</x:v>
      </x:c>
      <x:c r="M51" s="9" t="n">
        <x:f>'Broad Screen'!$AO$17</x:f>
        <x:v>0</x:v>
      </x:c>
      <x:c r="N51" s="14" t="n">
        <x:f>'Broad Screen'!$AQ$17</x:f>
        <x:v>1.8571428571428572</x:v>
      </x:c>
      <x:c r="O51" s="9" t="n">
        <x:f>'Broad Screen'!$AS$17</x:f>
        <x:v>0</x:v>
      </x:c>
      <x:c r="P51" s="9" t="str">
        <x:v>Not proposed</x:v>
      </x:c>
      <x:c r="Q51" s="9" t="str"/>
    </x:row>
    <x:row r="52">
      <x:c r="A52" s="9" t="n">
        <x:v>51</x:v>
      </x:c>
      <x:c r="B52" s="9" t="str">
        <x:v>Middlesbrough</x:v>
      </x:c>
      <x:c r="C52" s="13" t="n">
        <x:f>'Broad Screen'!$AL$33</x:f>
        <x:v>58.5</x:v>
      </x:c>
      <x:c r="D52" s="10" t="n">
        <x:f>'Broad Screen'!$O$33</x:f>
        <x:v>499</x:v>
      </x:c>
      <x:c r="E52" s="9" t="n">
        <x:f>'Broad Screen'!$Q$33</x:f>
        <x:v>5</x:v>
      </x:c>
      <x:c r="F52" s="9" t="n">
        <x:f>'Broad Screen'!$I$33</x:f>
        <x:v>2</x:v>
      </x:c>
      <x:c r="G52" s="9" t="n">
        <x:f>'Broad Screen'!$Y$33</x:f>
        <x:v>4</x:v>
      </x:c>
      <x:c r="H52" s="9" t="n">
        <x:f>'Broad Screen'!$AI$33</x:f>
        <x:v>2</x:v>
      </x:c>
      <x:c r="I52" s="9" t="n">
        <x:f>'Broad Screen'!$AG$33</x:f>
        <x:v>2</x:v>
      </x:c>
      <x:c r="J52" s="9" t="n">
        <x:f>'Broad Screen'!$X$33</x:f>
        <x:v>2.5</x:v>
      </x:c>
      <x:c r="K52" s="9" t="n">
        <x:f>'Broad Screen'!$AE$33</x:f>
        <x:v>3</x:v>
      </x:c>
      <x:c r="L52" s="13" t="n">
        <x:f>'Broad Screen'!$AN$33</x:f>
        <x:v>45</x:v>
      </x:c>
      <x:c r="M52" s="9" t="n">
        <x:f>'Broad Screen'!$AO$33</x:f>
        <x:v>0</x:v>
      </x:c>
      <x:c r="N52" s="14" t="n">
        <x:f>'Broad Screen'!$AQ$33</x:f>
        <x:v>1.8571428571428572</x:v>
      </x:c>
      <x:c r="O52" s="9" t="n">
        <x:f>'Broad Screen'!$AS$33</x:f>
        <x:v>0</x:v>
      </x:c>
      <x:c r="P52" s="9" t="str">
        <x:v>Not proposed</x:v>
      </x:c>
      <x:c r="Q52" s="9" t="str"/>
    </x:row>
    <x:row r="53">
      <x:c r="A53" s="9" t="n">
        <x:v>52</x:v>
      </x:c>
      <x:c r="B53" s="9" t="str">
        <x:v>Blackpool</x:v>
      </x:c>
      <x:c r="C53" s="13" t="n">
        <x:f>'Broad Screen'!$AL$5</x:f>
        <x:v>58.5</x:v>
      </x:c>
      <x:c r="D53" s="10" t="n">
        <x:f>'Broad Screen'!$O$5</x:f>
        <x:v>498</x:v>
      </x:c>
      <x:c r="E53" s="9" t="n">
        <x:f>'Broad Screen'!$Q$5</x:f>
        <x:v>5</x:v>
      </x:c>
      <x:c r="F53" s="9" t="n">
        <x:f>'Broad Screen'!$I$5</x:f>
        <x:v>1</x:v>
      </x:c>
      <x:c r="G53" s="9" t="n">
        <x:f>'Broad Screen'!$Y$5</x:f>
        <x:v>4</x:v>
      </x:c>
      <x:c r="H53" s="9" t="n">
        <x:f>'Broad Screen'!$AI$5</x:f>
        <x:v>2</x:v>
      </x:c>
      <x:c r="I53" s="9" t="n">
        <x:f>'Broad Screen'!$AG$5</x:f>
        <x:v>2</x:v>
      </x:c>
      <x:c r="J53" s="9" t="n">
        <x:f>'Broad Screen'!$X$5</x:f>
        <x:v>3.5</x:v>
      </x:c>
      <x:c r="K53" s="9" t="n">
        <x:f>'Broad Screen'!$AE$5</x:f>
        <x:v>3</x:v>
      </x:c>
      <x:c r="L53" s="13" t="n">
        <x:f>'Broad Screen'!$AN$5</x:f>
        <x:v>42</x:v>
      </x:c>
      <x:c r="M53" s="9" t="n">
        <x:f>'Broad Screen'!$AO$5</x:f>
        <x:v>1</x:v>
      </x:c>
      <x:c r="N53" s="14" t="n">
        <x:f>'Broad Screen'!$AQ$5</x:f>
        <x:v>2</x:v>
      </x:c>
      <x:c r="O53" s="9" t="n">
        <x:f>'Broad Screen'!$AS$5</x:f>
        <x:v>0</x:v>
      </x:c>
      <x:c r="P53" s="9" t="str">
        <x:v>Not proposed</x:v>
      </x:c>
      <x:c r="Q53" s="9" t="str"/>
    </x:row>
    <x:row r="54">
      <x:c r="A54" s="9" t="n">
        <x:v>53</x:v>
      </x:c>
      <x:c r="B54" s="9" t="str">
        <x:v>Portsmouth</x:v>
      </x:c>
      <x:c r="C54" s="13" t="n">
        <x:f>'Broad Screen'!$AL$42</x:f>
        <x:v>57.5</x:v>
      </x:c>
      <x:c r="D54" s="10" t="n">
        <x:f>'Broad Screen'!$O$42</x:f>
        <x:v>900</x:v>
      </x:c>
      <x:c r="E54" s="9" t="n">
        <x:f>'Broad Screen'!$Q$42</x:f>
        <x:v>1</x:v>
      </x:c>
      <x:c r="F54" s="9" t="n">
        <x:f>'Broad Screen'!$I$42</x:f>
        <x:v>2</x:v>
      </x:c>
      <x:c r="G54" s="9" t="n">
        <x:f>'Broad Screen'!$Y$42</x:f>
        <x:v>4</x:v>
      </x:c>
      <x:c r="H54" s="9" t="n">
        <x:f>'Broad Screen'!$AI$42</x:f>
        <x:v>4</x:v>
      </x:c>
      <x:c r="I54" s="9" t="n">
        <x:f>'Broad Screen'!$AG$42</x:f>
        <x:v>2</x:v>
      </x:c>
      <x:c r="J54" s="9" t="n">
        <x:f>'Broad Screen'!$X$42</x:f>
        <x:v>3.5</x:v>
      </x:c>
      <x:c r="K54" s="9" t="n">
        <x:f>'Broad Screen'!$AE$42</x:f>
        <x:v>4</x:v>
      </x:c>
      <x:c r="L54" s="13" t="n">
        <x:f>'Broad Screen'!$AN$42</x:f>
        <x:v>39</x:v>
      </x:c>
      <x:c r="M54" s="9" t="n">
        <x:f>'Broad Screen'!$AO$42</x:f>
        <x:v>0</x:v>
      </x:c>
      <x:c r="N54" s="14" t="n">
        <x:f>'Broad Screen'!$AQ$42</x:f>
        <x:v>2</x:v>
      </x:c>
      <x:c r="O54" s="9" t="n">
        <x:f>'Broad Screen'!$AS$42</x:f>
        <x:v>0</x:v>
      </x:c>
      <x:c r="P54" s="9" t="str">
        <x:v>Not proposed</x:v>
      </x:c>
      <x:c r="Q54" s="9" t="str"/>
    </x:row>
    <x:row r="55">
      <x:c r="A55" s="9" t="n">
        <x:v>54</x:v>
      </x:c>
      <x:c r="B55" s="9" t="str">
        <x:v>Blackburn</x:v>
      </x:c>
      <x:c r="C55" s="13" t="n">
        <x:f>'Broad Screen'!$AL$4</x:f>
        <x:v>57</x:v>
      </x:c>
      <x:c r="D55" s="10" t="n">
        <x:f>'Broad Screen'!$O$4</x:f>
        <x:v>534</x:v>
      </x:c>
      <x:c r="E55" s="9" t="n">
        <x:f>'Broad Screen'!$Q$4</x:f>
        <x:v>5</x:v>
      </x:c>
      <x:c r="F55" s="9" t="n">
        <x:f>'Broad Screen'!$I$4</x:f>
        <x:v>3</x:v>
      </x:c>
      <x:c r="G55" s="9" t="n">
        <x:f>'Broad Screen'!$Y$4</x:f>
        <x:v>3</x:v>
      </x:c>
      <x:c r="H55" s="9" t="n">
        <x:f>'Broad Screen'!$AI$4</x:f>
        <x:v>2</x:v>
      </x:c>
      <x:c r="I55" s="9" t="n">
        <x:f>'Broad Screen'!$AG$4</x:f>
        <x:v>3</x:v>
      </x:c>
      <x:c r="J55" s="9" t="n">
        <x:f>'Broad Screen'!$X$4</x:f>
        <x:v>1</x:v>
      </x:c>
      <x:c r="K55" s="9" t="n">
        <x:f>'Broad Screen'!$AE$4</x:f>
        <x:v>3</x:v>
      </x:c>
      <x:c r="L55" s="13" t="n">
        <x:f>'Broad Screen'!$AN$4</x:f>
        <x:v>48</x:v>
      </x:c>
      <x:c r="M55" s="9" t="n">
        <x:f>'Broad Screen'!$AO$4</x:f>
        <x:v>0</x:v>
      </x:c>
      <x:c r="N55" s="14" t="n">
        <x:f>'Broad Screen'!$AQ$4</x:f>
        <x:v>1.8571428571428572</x:v>
      </x:c>
      <x:c r="O55" s="9" t="n">
        <x:f>'Broad Screen'!$AS$4</x:f>
        <x:v>0</x:v>
      </x:c>
      <x:c r="P55" s="9" t="str">
        <x:v>Not proposed</x:v>
      </x:c>
      <x:c r="Q55" s="9" t="str"/>
    </x:row>
    <x:row r="56">
      <x:c r="A56" s="9" t="n">
        <x:v>55</x:v>
      </x:c>
      <x:c r="B56" s="9" t="str">
        <x:v>Peterborough</x:v>
      </x:c>
      <x:c r="C56" s="13" t="n">
        <x:f>'Broad Screen'!$AL$40</x:f>
        <x:v>56.5</x:v>
      </x:c>
      <x:c r="D56" s="10" t="n">
        <x:f>'Broad Screen'!$O$40</x:f>
        <x:v>703</x:v>
      </x:c>
      <x:c r="E56" s="9" t="n">
        <x:f>'Broad Screen'!$Q$40</x:f>
        <x:v>1</x:v>
      </x:c>
      <x:c r="F56" s="9" t="n">
        <x:f>'Broad Screen'!$I$40</x:f>
        <x:v>2</x:v>
      </x:c>
      <x:c r="G56" s="9" t="n">
        <x:f>'Broad Screen'!$Y$40</x:f>
        <x:v>4</x:v>
      </x:c>
      <x:c r="H56" s="9" t="n">
        <x:f>'Broad Screen'!$AI$40</x:f>
        <x:v>3</x:v>
      </x:c>
      <x:c r="I56" s="9" t="n">
        <x:f>'Broad Screen'!$AG$40</x:f>
        <x:v>2</x:v>
      </x:c>
      <x:c r="J56" s="9" t="n">
        <x:f>'Broad Screen'!$X$40</x:f>
        <x:v>3.5</x:v>
      </x:c>
      <x:c r="K56" s="9" t="n">
        <x:f>'Broad Screen'!$AE$40</x:f>
        <x:v>5</x:v>
      </x:c>
      <x:c r="L56" s="13" t="n">
        <x:f>'Broad Screen'!$AN$40</x:f>
        <x:v>36</x:v>
      </x:c>
      <x:c r="M56" s="9" t="n">
        <x:f>'Broad Screen'!$AO$40</x:f>
        <x:v>0</x:v>
      </x:c>
      <x:c r="N56" s="14" t="n">
        <x:f>'Broad Screen'!$AQ$40</x:f>
        <x:v>1.8571428571428572</x:v>
      </x:c>
      <x:c r="O56" s="9" t="n">
        <x:f>'Broad Screen'!$AS$40</x:f>
        <x:v>0</x:v>
      </x:c>
      <x:c r="P56" s="9" t="str">
        <x:v>Not proposed</x:v>
      </x:c>
      <x:c r="Q56" s="9" t="str"/>
    </x:row>
    <x:row r="57">
      <x:c r="A57" s="9" t="n">
        <x:v>56</x:v>
      </x:c>
      <x:c r="B57" s="9" t="str">
        <x:v>Swindon</x:v>
      </x:c>
      <x:c r="C57" s="13" t="n">
        <x:f>'Broad Screen'!$AL$55</x:f>
        <x:v>56.5</x:v>
      </x:c>
      <x:c r="D57" s="10" t="n">
        <x:f>'Broad Screen'!$O$55</x:f>
        <x:v>816</x:v>
      </x:c>
      <x:c r="E57" s="9" t="n">
        <x:f>'Broad Screen'!$Q$55</x:f>
        <x:v>1</x:v>
      </x:c>
      <x:c r="F57" s="9" t="n">
        <x:f>'Broad Screen'!$I$55</x:f>
        <x:v>2</x:v>
      </x:c>
      <x:c r="G57" s="9" t="n">
        <x:f>'Broad Screen'!$Y$55</x:f>
        <x:v>4</x:v>
      </x:c>
      <x:c r="H57" s="9" t="n">
        <x:f>'Broad Screen'!$AI$55</x:f>
        <x:v>3</x:v>
      </x:c>
      <x:c r="I57" s="9" t="n">
        <x:f>'Broad Screen'!$AG$55</x:f>
        <x:v>2</x:v>
      </x:c>
      <x:c r="J57" s="9" t="n">
        <x:f>'Broad Screen'!$X$55</x:f>
        <x:v>3.5</x:v>
      </x:c>
      <x:c r="K57" s="9" t="n">
        <x:f>'Broad Screen'!$AE$55</x:f>
        <x:v>5</x:v>
      </x:c>
      <x:c r="L57" s="13" t="n">
        <x:f>'Broad Screen'!$AN$55</x:f>
        <x:v>36</x:v>
      </x:c>
      <x:c r="M57" s="9" t="n">
        <x:f>'Broad Screen'!$AO$55</x:f>
        <x:v>0</x:v>
      </x:c>
      <x:c r="N57" s="14" t="n">
        <x:f>'Broad Screen'!$AQ$55</x:f>
        <x:v>1.8571428571428572</x:v>
      </x:c>
      <x:c r="O57" s="9" t="n">
        <x:f>'Broad Screen'!$AS$55</x:f>
        <x:v>0</x:v>
      </x:c>
      <x:c r="P57" s="9" t="str">
        <x:v>Not proposed</x:v>
      </x:c>
      <x:c r="Q57" s="9" t="str"/>
    </x:row>
    <x:row r="58">
      <x:c r="A58" s="9" t="n">
        <x:v>57</x:v>
      </x:c>
      <x:c r="B58" s="9" t="str">
        <x:v>Leicester</x:v>
      </x:c>
      <x:c r="C58" s="13" t="n">
        <x:f>'Broad Screen'!$AL$27</x:f>
        <x:v>56.5</x:v>
      </x:c>
      <x:c r="D58" s="10" t="n">
        <x:f>'Broad Screen'!$O$27</x:f>
        <x:v>717</x:v>
      </x:c>
      <x:c r="E58" s="9" t="n">
        <x:f>'Broad Screen'!$Q$27</x:f>
        <x:v>1</x:v>
      </x:c>
      <x:c r="F58" s="9" t="n">
        <x:f>'Broad Screen'!$I$27</x:f>
        <x:v>1</x:v>
      </x:c>
      <x:c r="G58" s="9" t="n">
        <x:f>'Broad Screen'!$Y$27</x:f>
        <x:v>4</x:v>
      </x:c>
      <x:c r="H58" s="9" t="n">
        <x:f>'Broad Screen'!$AI$27</x:f>
        <x:v>3</x:v>
      </x:c>
      <x:c r="I58" s="9" t="n">
        <x:f>'Broad Screen'!$AG$27</x:f>
        <x:v>2</x:v>
      </x:c>
      <x:c r="J58" s="9" t="n">
        <x:f>'Broad Screen'!$X$27</x:f>
        <x:v>4.5</x:v>
      </x:c>
      <x:c r="K58" s="9" t="n">
        <x:f>'Broad Screen'!$AE$27</x:f>
        <x:v>5</x:v>
      </x:c>
      <x:c r="L58" s="13" t="n">
        <x:f>'Broad Screen'!$AN$27</x:f>
        <x:v>33</x:v>
      </x:c>
      <x:c r="M58" s="9" t="n">
        <x:f>'Broad Screen'!$AO$27</x:f>
        <x:v>1</x:v>
      </x:c>
      <x:c r="N58" s="14" t="n">
        <x:f>'Broad Screen'!$AQ$27</x:f>
        <x:v>1.8571428571428572</x:v>
      </x:c>
      <x:c r="O58" s="9" t="n">
        <x:f>'Broad Screen'!$AS$27</x:f>
        <x:v>0</x:v>
      </x:c>
      <x:c r="P58" s="9" t="str">
        <x:v>Not proposed</x:v>
      </x:c>
      <x:c r="Q58" s="9" t="str"/>
    </x:row>
    <x:row r="59">
      <x:c r="A59" s="9" t="n">
        <x:v>58</x:v>
      </x:c>
      <x:c r="B59" s="9" t="str">
        <x:v>Newcastle upon Tyne</x:v>
      </x:c>
      <x:c r="C59" s="13" t="n">
        <x:f>'Broad Screen'!$AL$35</x:f>
        <x:v>55.5</x:v>
      </x:c>
      <x:c r="D59" s="10" t="n">
        <x:f>'Broad Screen'!$O$35</x:f>
        <x:v>810</x:v>
      </x:c>
      <x:c r="E59" s="9" t="n">
        <x:f>'Broad Screen'!$Q$35</x:f>
        <x:v>1</x:v>
      </x:c>
      <x:c r="F59" s="9" t="n">
        <x:f>'Broad Screen'!$I$35</x:f>
        <x:v>1</x:v>
      </x:c>
      <x:c r="G59" s="9" t="n">
        <x:f>'Broad Screen'!$Y$35</x:f>
        <x:v>5</x:v>
      </x:c>
      <x:c r="H59" s="9" t="n">
        <x:f>'Broad Screen'!$AI$35</x:f>
        <x:v>4</x:v>
      </x:c>
      <x:c r="I59" s="9" t="n">
        <x:f>'Broad Screen'!$AG$35</x:f>
        <x:v>2</x:v>
      </x:c>
      <x:c r="J59" s="9" t="n">
        <x:f>'Broad Screen'!$X$35</x:f>
        <x:v>3.5</x:v>
      </x:c>
      <x:c r="K59" s="9" t="n">
        <x:f>'Broad Screen'!$AE$35</x:f>
        <x:v>3</x:v>
      </x:c>
      <x:c r="L59" s="13" t="n">
        <x:f>'Broad Screen'!$AN$35</x:f>
        <x:v>39</x:v>
      </x:c>
      <x:c r="M59" s="9" t="n">
        <x:f>'Broad Screen'!$AO$35</x:f>
        <x:v>1</x:v>
      </x:c>
      <x:c r="N59" s="14" t="n">
        <x:f>'Broad Screen'!$AQ$35</x:f>
        <x:v>2.142857142857143</x:v>
      </x:c>
      <x:c r="O59" s="9" t="n">
        <x:f>'Broad Screen'!$AS$35</x:f>
        <x:v>0</x:v>
      </x:c>
      <x:c r="P59" s="9" t="str">
        <x:v>Not proposed</x:v>
      </x:c>
      <x:c r="Q59" s="9" t="str"/>
    </x:row>
    <x:row r="60">
      <x:c r="A60" s="9" t="n">
        <x:v>59</x:v>
      </x:c>
      <x:c r="B60" s="9" t="str">
        <x:v>Hartlepool</x:v>
      </x:c>
      <x:c r="C60" s="13" t="n">
        <x:f>'Broad Screen'!$AL$20</x:f>
        <x:v>55</x:v>
      </x:c>
      <x:c r="D60" s="10" t="n">
        <x:f>'Broad Screen'!$O$20</x:f>
        <x:v>400</x:v>
      </x:c>
      <x:c r="E60" s="9" t="n">
        <x:f>'Broad Screen'!$Q$20</x:f>
        <x:v>5</x:v>
      </x:c>
      <x:c r="F60" s="9" t="n">
        <x:f>'Broad Screen'!$I$20</x:f>
        <x:v>3</x:v>
      </x:c>
      <x:c r="G60" s="9" t="n">
        <x:f>'Broad Screen'!$Y$20</x:f>
        <x:v>3</x:v>
      </x:c>
      <x:c r="H60" s="9" t="n">
        <x:f>'Broad Screen'!$AI$20</x:f>
        <x:v>2</x:v>
      </x:c>
      <x:c r="I60" s="9" t="n">
        <x:f>'Broad Screen'!$AG$20</x:f>
        <x:v>3</x:v>
      </x:c>
      <x:c r="J60" s="9" t="n">
        <x:f>'Broad Screen'!$X$20</x:f>
        <x:v>1</x:v>
      </x:c>
      <x:c r="K60" s="9" t="n">
        <x:f>'Broad Screen'!$AE$20</x:f>
        <x:v>2</x:v>
      </x:c>
      <x:c r="L60" s="13" t="n">
        <x:f>'Broad Screen'!$AN$20</x:f>
        <x:v>48</x:v>
      </x:c>
      <x:c r="M60" s="9" t="n">
        <x:f>'Broad Screen'!$AO$20</x:f>
        <x:v>0</x:v>
      </x:c>
      <x:c r="N60" s="14" t="n">
        <x:f>'Broad Screen'!$AQ$20</x:f>
        <x:v>1.8571428571428572</x:v>
      </x:c>
      <x:c r="O60" s="9" t="n">
        <x:f>'Broad Screen'!$AS$20</x:f>
        <x:v>0</x:v>
      </x:c>
      <x:c r="P60" s="9" t="str">
        <x:v>Not proposed</x:v>
      </x:c>
      <x:c r="Q60" s="9" t="str"/>
    </x:row>
    <x:row r="61">
      <x:c r="A61" s="9" t="n">
        <x:v>60</x:v>
      </x:c>
      <x:c r="B61" s="9" t="str">
        <x:v>St Helens</x:v>
      </x:c>
      <x:c r="C61" s="13" t="n">
        <x:f>'Broad Screen'!$AL$48</x:f>
        <x:v>54.5</x:v>
      </x:c>
      <x:c r="D61" s="10" t="n">
        <x:f>'Broad Screen'!$O$48</x:f>
        <x:v>590</x:v>
      </x:c>
      <x:c r="E61" s="9" t="n">
        <x:f>'Broad Screen'!$Q$48</x:f>
        <x:v>3</x:v>
      </x:c>
      <x:c r="F61" s="9" t="n">
        <x:f>'Broad Screen'!$I$48</x:f>
        <x:v>4</x:v>
      </x:c>
      <x:c r="G61" s="9" t="n">
        <x:f>'Broad Screen'!$Y$48</x:f>
        <x:v>3</x:v>
      </x:c>
      <x:c r="H61" s="9" t="n">
        <x:f>'Broad Screen'!$AI$48</x:f>
        <x:v>2</x:v>
      </x:c>
      <x:c r="I61" s="9" t="n">
        <x:f>'Broad Screen'!$AG$48</x:f>
        <x:v>2</x:v>
      </x:c>
      <x:c r="J61" s="9" t="n">
        <x:f>'Broad Screen'!$X$48</x:f>
        <x:v>1.5</x:v>
      </x:c>
      <x:c r="K61" s="9" t="n">
        <x:f>'Broad Screen'!$AE$48</x:f>
        <x:v>4</x:v>
      </x:c>
      <x:c r="L61" s="13" t="n">
        <x:f>'Broad Screen'!$AN$48</x:f>
        <x:v>42</x:v>
      </x:c>
      <x:c r="M61" s="9" t="n">
        <x:f>'Broad Screen'!$AO$48</x:f>
        <x:v>0</x:v>
      </x:c>
      <x:c r="N61" s="14" t="n">
        <x:f>'Broad Screen'!$AQ$48</x:f>
        <x:v>2</x:v>
      </x:c>
      <x:c r="O61" s="9" t="n">
        <x:f>'Broad Screen'!$AS$48</x:f>
        <x:v>0</x:v>
      </x:c>
      <x:c r="P61" s="9" t="str">
        <x:v>Not proposed</x:v>
      </x:c>
      <x:c r="Q61" s="9" t="str"/>
    </x:row>
    <x:row r="62">
      <x:c r="A62" s="9" t="n">
        <x:v>61</x:v>
      </x:c>
      <x:c r="B62" s="9" t="str">
        <x:v>Plymouth</x:v>
      </x:c>
      <x:c r="C62" s="13" t="n">
        <x:f>'Broad Screen'!$AL$41</x:f>
        <x:v>53.5</x:v>
      </x:c>
      <x:c r="D62" s="10" t="n">
        <x:f>'Broad Screen'!$O$41</x:f>
        <x:v>703</x:v>
      </x:c>
      <x:c r="E62" s="9" t="n">
        <x:f>'Broad Screen'!$Q$41</x:f>
        <x:v>1</x:v>
      </x:c>
      <x:c r="F62" s="9" t="n">
        <x:f>'Broad Screen'!$I$41</x:f>
        <x:v>1</x:v>
      </x:c>
      <x:c r="G62" s="9" t="n">
        <x:f>'Broad Screen'!$Y$41</x:f>
        <x:v>4</x:v>
      </x:c>
      <x:c r="H62" s="9" t="n">
        <x:f>'Broad Screen'!$AI$41</x:f>
        <x:v>4</x:v>
      </x:c>
      <x:c r="I62" s="9" t="n">
        <x:f>'Broad Screen'!$AG$41</x:f>
        <x:v>3</x:v>
      </x:c>
      <x:c r="J62" s="9" t="n">
        <x:f>'Broad Screen'!$X$41</x:f>
        <x:v>3.5</x:v>
      </x:c>
      <x:c r="K62" s="9" t="n">
        <x:f>'Broad Screen'!$AE$41</x:f>
        <x:v>2</x:v>
      </x:c>
      <x:c r="L62" s="13" t="n">
        <x:f>'Broad Screen'!$AN$41</x:f>
        <x:v>39</x:v>
      </x:c>
      <x:c r="M62" s="9" t="n">
        <x:f>'Broad Screen'!$AO$41</x:f>
        <x:v>1</x:v>
      </x:c>
      <x:c r="N62" s="14" t="n">
        <x:f>'Broad Screen'!$AQ$41</x:f>
        <x:v>2</x:v>
      </x:c>
      <x:c r="O62" s="9" t="n">
        <x:f>'Broad Screen'!$AS$41</x:f>
        <x:v>0</x:v>
      </x:c>
      <x:c r="P62" s="9" t="str">
        <x:v>Not proposed</x:v>
      </x:c>
      <x:c r="Q62" s="9" t="str"/>
    </x:row>
    <x:row r="63">
      <x:c r="A63" s="9" t="n">
        <x:v>62</x:v>
      </x:c>
      <x:c r="B63" s="9" t="str">
        <x:v>Northampton</x:v>
      </x:c>
      <x:c r="C63" s="13" t="n">
        <x:f>'Broad Screen'!$AL$37</x:f>
        <x:v>53.5</x:v>
      </x:c>
      <x:c r="D63" s="10" t="n">
        <x:f>'Broad Screen'!$O$37</x:f>
        <x:v>748</x:v>
      </x:c>
      <x:c r="E63" s="9" t="n">
        <x:f>'Broad Screen'!$Q$37</x:f>
        <x:v>1</x:v>
      </x:c>
      <x:c r="F63" s="9" t="n">
        <x:f>'Broad Screen'!$I$37</x:f>
        <x:v>1</x:v>
      </x:c>
      <x:c r="G63" s="9" t="n">
        <x:f>'Broad Screen'!$Y$37</x:f>
        <x:v>4</x:v>
      </x:c>
      <x:c r="H63" s="9" t="n">
        <x:f>'Broad Screen'!$AI$37</x:f>
        <x:v>3</x:v>
      </x:c>
      <x:c r="I63" s="9" t="n">
        <x:f>'Broad Screen'!$AG$37</x:f>
        <x:v>2</x:v>
      </x:c>
      <x:c r="J63" s="9" t="n">
        <x:f>'Broad Screen'!$X$37</x:f>
        <x:v>3.5</x:v>
      </x:c>
      <x:c r="K63" s="9" t="n">
        <x:f>'Broad Screen'!$AE$37</x:f>
        <x:v>5</x:v>
      </x:c>
      <x:c r="L63" s="13" t="n">
        <x:f>'Broad Screen'!$AN$37</x:f>
        <x:v>33</x:v>
      </x:c>
      <x:c r="M63" s="9" t="n">
        <x:f>'Broad Screen'!$AO$37</x:f>
        <x:v>1</x:v>
      </x:c>
      <x:c r="N63" s="14" t="n">
        <x:f>'Broad Screen'!$AQ$37</x:f>
        <x:v>1.8571428571428572</x:v>
      </x:c>
      <x:c r="O63" s="9" t="n">
        <x:f>'Broad Screen'!$AS$37</x:f>
        <x:v>0</x:v>
      </x:c>
      <x:c r="P63" s="9" t="str">
        <x:v>Not proposed</x:v>
      </x:c>
      <x:c r="Q63" s="9" t="str"/>
    </x:row>
    <x:row r="64">
      <x:c r="A64" s="9" t="n">
        <x:v>63</x:v>
      </x:c>
      <x:c r="B64" s="9" t="str">
        <x:v>Newport</x:v>
      </x:c>
      <x:c r="C64" s="13" t="n">
        <x:f>'Broad Screen'!$AL$36</x:f>
        <x:v>50.5</x:v>
      </x:c>
      <x:c r="D64" s="10" t="n">
        <x:f>'Broad Screen'!$O$36</x:f>
        <x:v>696</x:v>
      </x:c>
      <x:c r="E64" s="9" t="n">
        <x:f>'Broad Screen'!$Q$36</x:f>
        <x:v>1</x:v>
      </x:c>
      <x:c r="F64" s="9" t="n">
        <x:f>'Broad Screen'!$I$36</x:f>
        <x:v>2</x:v>
      </x:c>
      <x:c r="G64" s="9" t="n">
        <x:f>'Broad Screen'!$Y$36</x:f>
        <x:v>4</x:v>
      </x:c>
      <x:c r="H64" s="9" t="n">
        <x:f>'Broad Screen'!$AI$36</x:f>
        <x:v>2</x:v>
      </x:c>
      <x:c r="I64" s="9" t="n">
        <x:f>'Broad Screen'!$AG$36</x:f>
        <x:v>2</x:v>
      </x:c>
      <x:c r="J64" s="9" t="n">
        <x:f>'Broad Screen'!$X$36</x:f>
        <x:v>2.5</x:v>
      </x:c>
      <x:c r="K64" s="9" t="n">
        <x:f>'Broad Screen'!$AE$36</x:f>
        <x:v>5</x:v>
      </x:c>
      <x:c r="L64" s="13" t="n">
        <x:f>'Broad Screen'!$AN$36</x:f>
        <x:v>33</x:v>
      </x:c>
      <x:c r="M64" s="9" t="n">
        <x:f>'Broad Screen'!$AO$36</x:f>
        <x:v>0</x:v>
      </x:c>
      <x:c r="N64" s="14" t="n">
        <x:f>'Broad Screen'!$AQ$36</x:f>
        <x:v>2</x:v>
      </x:c>
      <x:c r="O64" s="9" t="n">
        <x:f>'Broad Screen'!$AS$36</x:f>
        <x:v>0</x:v>
      </x:c>
      <x:c r="P64" s="9" t="str">
        <x:v>Not proposed</x:v>
      </x:c>
      <x:c r="Q64" s="9" t="str"/>
    </x:row>
  </x:sheetData>
  <x:conditionalFormatting sqref="C2:C64">
    <x:cfRule type="colorScale" priority="1">
      <x:colorScale>
        <x:cfvo type="min"/>
        <x:cfvo type="percentile" val="50"/>
        <x:cfvo type="max"/>
        <x:color rgb="FFB44B4B"/>
        <x:color rgb="FFF4E4A6"/>
        <x:color rgb="FF69A98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c71c431d0384b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4" hidden="0" customWidth="1"/>
    <x:col min="14" max="14" width="18" hidden="0" customWidth="1"/>
  </x:cols>
  <x:sheetData>
    <x:row r="1">
      <x:c r="A1" s="3" t="str">
        <x:v>Proposed Stage 2 shortlist — awaiting user approval</x:v>
      </x:c>
      <x:c r="B1" s="3" t="str">
        <x:v>Proposed Stage 2 shortlist — awaiting user approval</x:v>
      </x:c>
      <x:c r="C1" s="3" t="str">
        <x:v>Proposed Stage 2 shortlist — awaiting user approval</x:v>
      </x:c>
      <x:c r="D1" s="3" t="str">
        <x:v>Proposed Stage 2 shortlist — awaiting user approval</x:v>
      </x:c>
      <x:c r="E1" s="3" t="str">
        <x:v>Proposed Stage 2 shortlist — awaiting user approval</x:v>
      </x:c>
      <x:c r="F1" s="3" t="str">
        <x:v>Proposed Stage 2 shortlist — awaiting user approval</x:v>
      </x:c>
      <x:c r="G1" s="3" t="str">
        <x:v>Proposed Stage 2 shortlist — awaiting user approval</x:v>
      </x:c>
      <x:c r="H1" s="3" t="str">
        <x:v>Proposed Stage 2 shortlist — awaiting user approval</x:v>
      </x:c>
      <x:c r="I1" s="3" t="str">
        <x:v>Proposed Stage 2 shortlist — awaiting user approval</x:v>
      </x:c>
      <x:c r="J1" s="3" t="str">
        <x:v>Proposed Stage 2 shortlist — awaiting user approval</x:v>
      </x:c>
      <x:c r="K1" s="3" t="str">
        <x:v>Proposed Stage 2 shortlist — awaiting user approval</x:v>
      </x:c>
      <x:c r="L1" s="3" t="str">
        <x:v>Proposed Stage 2 shortlist — awaiting user approval</x:v>
      </x:c>
      <x:c r="M1" s="3" t="str">
        <x:v>Proposed Stage 2 shortlist — awaiting user approval</x:v>
      </x:c>
      <x:c r="N1" s="3" t="str">
        <x:v>Proposed Stage 2 shortlist — awaiting user approval</x:v>
      </x:c>
    </x:row>
    <x:row r="3" ht="34" customHeight="1">
      <x:c r="A3" s="7" t="str">
        <x:v>Order</x:v>
      </x:c>
      <x:c r="B3" s="7" t="str">
        <x:v>Location</x:v>
      </x:c>
      <x:c r="C3" s="7" t="str">
        <x:v>Qualified via</x:v>
      </x:c>
      <x:c r="D3" s="7" t="str">
        <x:v>Buy rank</x:v>
      </x:c>
      <x:c r="E3" s="7" t="str">
        <x:v>Buy score</x:v>
      </x:c>
      <x:c r="F3" s="7" t="str">
        <x:v>Rent rank</x:v>
      </x:c>
      <x:c r="G3" s="7" t="str">
        <x:v>Rent score</x:v>
      </x:c>
      <x:c r="H3" s="7" t="str">
        <x:v>Buy priority</x:v>
      </x:c>
      <x:c r="I3" s="7" t="str">
        <x:v>Rent priority</x:v>
      </x:c>
      <x:c r="J3" s="7" t="str">
        <x:v>Serious weaknesses</x:v>
      </x:c>
      <x:c r="K3" s="7" t="str">
        <x:v>Buy confidence</x:v>
      </x:c>
      <x:c r="L3" s="7" t="str">
        <x:v>Rent confidence</x:v>
      </x:c>
      <x:c r="M3" s="7" t="str">
        <x:v>Status</x:v>
      </x:c>
      <x:c r="N3" s="7" t="str">
        <x:v>Stage 3 started?</x:v>
      </x:c>
    </x:row>
    <x:row r="4">
      <x:c r="A4" s="9" t="n">
        <x:v>1</x:v>
      </x:c>
      <x:c r="B4" s="9" t="str">
        <x:v>Shrewsbury</x:v>
      </x:c>
      <x:c r="C4" s="9" t="str">
        <x:v>Both</x:v>
      </x:c>
      <x:c r="D4" s="9" t="n">
        <x:v>7</x:v>
      </x:c>
      <x:c r="E4" s="13" t="n">
        <x:v>69.5</x:v>
      </x:c>
      <x:c r="F4" s="13" t="n">
        <x:v>1</x:v>
      </x:c>
      <x:c r="G4" s="13" t="n">
        <x:v>75.5</x:v>
      </x:c>
      <x:c r="H4" s="13" t="n">
        <x:v>54</x:v>
      </x:c>
      <x:c r="I4" s="13" t="n">
        <x:v>60</x:v>
      </x:c>
      <x:c r="J4" s="9" t="n">
        <x:v>0</x:v>
      </x:c>
      <x:c r="K4" s="14" t="n">
        <x:v>2.14</x:v>
      </x:c>
      <x:c r="L4" s="14" t="n">
        <x:v>2</x:v>
      </x:c>
      <x:c r="M4" s="9" t="str">
        <x:v>Proposed — awaiting user approval</x:v>
      </x:c>
      <x:c r="N4" s="9" t="str">
        <x:v>No</x:v>
      </x:c>
    </x:row>
    <x:row r="5">
      <x:c r="A5" s="9" t="n">
        <x:v>2</x:v>
      </x:c>
      <x:c r="B5" s="9" t="str">
        <x:v>Chesterfield</x:v>
      </x:c>
      <x:c r="C5" s="9" t="str">
        <x:v>Rent</x:v>
      </x:c>
      <x:c r="D5" s="9" t="n">
        <x:v>15</x:v>
      </x:c>
      <x:c r="E5" s="13" t="n">
        <x:v>65.5</x:v>
      </x:c>
      <x:c r="F5" s="13" t="n">
        <x:v>2</x:v>
      </x:c>
      <x:c r="G5" s="13" t="n">
        <x:v>74.5</x:v>
      </x:c>
      <x:c r="H5" s="13" t="n">
        <x:v>51</x:v>
      </x:c>
      <x:c r="I5" s="13" t="n">
        <x:v>57</x:v>
      </x:c>
      <x:c r="J5" s="9" t="n">
        <x:v>0</x:v>
      </x:c>
      <x:c r="K5" s="14" t="n">
        <x:v>2.14</x:v>
      </x:c>
      <x:c r="L5" s="14" t="n">
        <x:v>2</x:v>
      </x:c>
      <x:c r="M5" s="9" t="str">
        <x:v>Proposed — awaiting user approval</x:v>
      </x:c>
      <x:c r="N5" s="9" t="str">
        <x:v>No</x:v>
      </x:c>
    </x:row>
    <x:row r="6">
      <x:c r="A6" s="9" t="n">
        <x:v>3</x:v>
      </x:c>
      <x:c r="B6" s="9" t="str">
        <x:v>Chester</x:v>
      </x:c>
      <x:c r="C6" s="9" t="str">
        <x:v>Both</x:v>
      </x:c>
      <x:c r="D6" s="9" t="n">
        <x:v>1</x:v>
      </x:c>
      <x:c r="E6" s="13" t="n">
        <x:v>72.5</x:v>
      </x:c>
      <x:c r="F6" s="13" t="n">
        <x:v>3</x:v>
      </x:c>
      <x:c r="G6" s="13" t="n">
        <x:v>72.5</x:v>
      </x:c>
      <x:c r="H6" s="13" t="n">
        <x:v>57</x:v>
      </x:c>
      <x:c r="I6" s="13" t="n">
        <x:v>57</x:v>
      </x:c>
      <x:c r="J6" s="9" t="n">
        <x:v>0</x:v>
      </x:c>
      <x:c r="K6" s="14" t="n">
        <x:v>2.14</x:v>
      </x:c>
      <x:c r="L6" s="14" t="n">
        <x:v>2</x:v>
      </x:c>
      <x:c r="M6" s="9" t="str">
        <x:v>Proposed — awaiting user approval</x:v>
      </x:c>
      <x:c r="N6" s="9" t="str">
        <x:v>No</x:v>
      </x:c>
    </x:row>
    <x:row r="7">
      <x:c r="A7" s="9" t="n">
        <x:v>4</x:v>
      </x:c>
      <x:c r="B7" s="9" t="str">
        <x:v>Lancaster</x:v>
      </x:c>
      <x:c r="C7" s="9" t="str">
        <x:v>Both</x:v>
      </x:c>
      <x:c r="D7" s="9" t="n">
        <x:v>2</x:v>
      </x:c>
      <x:c r="E7" s="13" t="n">
        <x:v>72.5</x:v>
      </x:c>
      <x:c r="F7" s="13" t="n">
        <x:v>9</x:v>
      </x:c>
      <x:c r="G7" s="13" t="n">
        <x:v>68</x:v>
      </x:c>
      <x:c r="H7" s="13" t="n">
        <x:v>57</x:v>
      </x:c>
      <x:c r="I7" s="13" t="n">
        <x:v>57</x:v>
      </x:c>
      <x:c r="J7" s="9" t="n">
        <x:v>0</x:v>
      </x:c>
      <x:c r="K7" s="14" t="n">
        <x:v>2.14</x:v>
      </x:c>
      <x:c r="L7" s="14" t="n">
        <x:v>2</x:v>
      </x:c>
      <x:c r="M7" s="9" t="str">
        <x:v>Proposed — awaiting user approval</x:v>
      </x:c>
      <x:c r="N7" s="9" t="str">
        <x:v>No</x:v>
      </x:c>
    </x:row>
    <x:row r="8">
      <x:c r="A8" s="9" t="n">
        <x:v>5</x:v>
      </x:c>
      <x:c r="B8" s="9" t="str">
        <x:v>Stafford</x:v>
      </x:c>
      <x:c r="C8" s="9" t="str">
        <x:v>Both</x:v>
      </x:c>
      <x:c r="D8" s="9" t="n">
        <x:v>3</x:v>
      </x:c>
      <x:c r="E8" s="13" t="n">
        <x:v>71.5</x:v>
      </x:c>
      <x:c r="F8" s="13" t="n">
        <x:v>4</x:v>
      </x:c>
      <x:c r="G8" s="13" t="n">
        <x:v>71.5</x:v>
      </x:c>
      <x:c r="H8" s="13" t="n">
        <x:v>57</x:v>
      </x:c>
      <x:c r="I8" s="13" t="n">
        <x:v>57</x:v>
      </x:c>
      <x:c r="J8" s="9" t="n">
        <x:v>0</x:v>
      </x:c>
      <x:c r="K8" s="14" t="n">
        <x:v>2.14</x:v>
      </x:c>
      <x:c r="L8" s="14" t="n">
        <x:v>2</x:v>
      </x:c>
      <x:c r="M8" s="9" t="str">
        <x:v>Proposed — awaiting user approval</x:v>
      </x:c>
      <x:c r="N8" s="9" t="str">
        <x:v>No</x:v>
      </x:c>
    </x:row>
    <x:row r="9">
      <x:c r="A9" s="9" t="n">
        <x:v>6</x:v>
      </x:c>
      <x:c r="B9" s="9" t="str">
        <x:v>Burton-on-Trent</x:v>
      </x:c>
      <x:c r="C9" s="9" t="str">
        <x:v>Buy</x:v>
      </x:c>
      <x:c r="D9" s="9" t="n">
        <x:v>4</x:v>
      </x:c>
      <x:c r="E9" s="13" t="n">
        <x:v>71.5</x:v>
      </x:c>
      <x:c r="F9" s="13" t="n">
        <x:v>22</x:v>
      </x:c>
      <x:c r="G9" s="13" t="n">
        <x:v>65.5</x:v>
      </x:c>
      <x:c r="H9" s="13" t="n">
        <x:v>54</x:v>
      </x:c>
      <x:c r="I9" s="13" t="n">
        <x:v>48</x:v>
      </x:c>
      <x:c r="J9" s="9" t="n">
        <x:v>0</x:v>
      </x:c>
      <x:c r="K9" s="14" t="n">
        <x:v>2</x:v>
      </x:c>
      <x:c r="L9" s="14" t="n">
        <x:v>1.86</x:v>
      </x:c>
      <x:c r="M9" s="9" t="str">
        <x:v>Proposed — awaiting user approval</x:v>
      </x:c>
      <x:c r="N9" s="9" t="str">
        <x:v>No</x:v>
      </x:c>
    </x:row>
    <x:row r="10">
      <x:c r="A10" s="9" t="n">
        <x:v>7</x:v>
      </x:c>
      <x:c r="B10" s="9" t="str">
        <x:v>Halifax</x:v>
      </x:c>
      <x:c r="C10" s="9" t="str">
        <x:v>Rent</x:v>
      </x:c>
      <x:c r="D10" s="9" t="n">
        <x:v>24</x:v>
      </x:c>
      <x:c r="E10" s="13" t="n">
        <x:v>64.5</x:v>
      </x:c>
      <x:c r="F10" s="13" t="n">
        <x:v>5</x:v>
      </x:c>
      <x:c r="G10" s="13" t="n">
        <x:v>70.5</x:v>
      </x:c>
      <x:c r="H10" s="13" t="n">
        <x:v>51</x:v>
      </x:c>
      <x:c r="I10" s="13" t="n">
        <x:v>57</x:v>
      </x:c>
      <x:c r="J10" s="9" t="n">
        <x:v>0</x:v>
      </x:c>
      <x:c r="K10" s="14" t="n">
        <x:v>2.14</x:v>
      </x:c>
      <x:c r="L10" s="14" t="n">
        <x:v>2</x:v>
      </x:c>
      <x:c r="M10" s="9" t="str">
        <x:v>Proposed — awaiting user approval</x:v>
      </x:c>
      <x:c r="N10" s="9" t="str">
        <x:v>No</x:v>
      </x:c>
    </x:row>
    <x:row r="11">
      <x:c r="A11" s="9" t="n">
        <x:v>8</x:v>
      </x:c>
      <x:c r="B11" s="9" t="str">
        <x:v>Huddersfield</x:v>
      </x:c>
      <x:c r="C11" s="9" t="str">
        <x:v>Both</x:v>
      </x:c>
      <x:c r="D11" s="9" t="n">
        <x:v>5</x:v>
      </x:c>
      <x:c r="E11" s="13" t="n">
        <x:v>70.5</x:v>
      </x:c>
      <x:c r="F11" s="13" t="n">
        <x:v>12</x:v>
      </x:c>
      <x:c r="G11" s="13" t="n">
        <x:v>67.5</x:v>
      </x:c>
      <x:c r="H11" s="13" t="n">
        <x:v>57</x:v>
      </x:c>
      <x:c r="I11" s="13" t="n">
        <x:v>51</x:v>
      </x:c>
      <x:c r="J11" s="9" t="n">
        <x:v>0</x:v>
      </x:c>
      <x:c r="K11" s="14" t="n">
        <x:v>2.14</x:v>
      </x:c>
      <x:c r="L11" s="14" t="n">
        <x:v>2</x:v>
      </x:c>
      <x:c r="M11" s="9" t="str">
        <x:v>Proposed — awaiting user approval</x:v>
      </x:c>
      <x:c r="N11" s="9" t="str">
        <x:v>No</x:v>
      </x:c>
    </x:row>
    <x:row r="12">
      <x:c r="A12" s="9" t="n">
        <x:v>9</x:v>
      </x:c>
      <x:c r="B12" s="9" t="str">
        <x:v>Hull (Kingston upon Hull)</x:v>
      </x:c>
      <x:c r="C12" s="9" t="str">
        <x:v>Both</x:v>
      </x:c>
      <x:c r="D12" s="9" t="n">
        <x:v>6</x:v>
      </x:c>
      <x:c r="E12" s="13" t="n">
        <x:v>70.5</x:v>
      </x:c>
      <x:c r="F12" s="13" t="n">
        <x:v>6</x:v>
      </x:c>
      <x:c r="G12" s="13" t="n">
        <x:v>70.5</x:v>
      </x:c>
      <x:c r="H12" s="13" t="n">
        <x:v>54</x:v>
      </x:c>
      <x:c r="I12" s="13" t="n">
        <x:v>54</x:v>
      </x:c>
      <x:c r="J12" s="9" t="n">
        <x:v>0</x:v>
      </x:c>
      <x:c r="K12" s="14" t="n">
        <x:v>2</x:v>
      </x:c>
      <x:c r="L12" s="14" t="n">
        <x:v>1.86</x:v>
      </x:c>
      <x:c r="M12" s="9" t="str">
        <x:v>Proposed — awaiting user approval</x:v>
      </x:c>
      <x:c r="N12" s="9" t="str">
        <x:v>No</x:v>
      </x:c>
    </x:row>
    <x:row r="13">
      <x:c r="A13" s="9" t="n">
        <x:v>10</x:v>
      </x:c>
      <x:c r="B13" s="9" t="str">
        <x:v>Wakefield</x:v>
      </x:c>
      <x:c r="C13" s="9" t="str">
        <x:v>Rent</x:v>
      </x:c>
      <x:c r="D13" s="9" t="n">
        <x:v>27</x:v>
      </x:c>
      <x:c r="E13" s="13" t="n">
        <x:v>63.5</x:v>
      </x:c>
      <x:c r="F13" s="13" t="n">
        <x:v>7</x:v>
      </x:c>
      <x:c r="G13" s="13" t="n">
        <x:v>69.5</x:v>
      </x:c>
      <x:c r="H13" s="13" t="n">
        <x:v>48</x:v>
      </x:c>
      <x:c r="I13" s="13" t="n">
        <x:v>54</x:v>
      </x:c>
      <x:c r="J13" s="9" t="n">
        <x:v>0</x:v>
      </x:c>
      <x:c r="K13" s="14" t="n">
        <x:v>2.14</x:v>
      </x:c>
      <x:c r="L13" s="14" t="n">
        <x:v>2</x:v>
      </x:c>
      <x:c r="M13" s="9" t="str">
        <x:v>Proposed — awaiting user approval</x:v>
      </x:c>
      <x:c r="N13" s="9" t="str">
        <x:v>No</x:v>
      </x:c>
    </x:row>
    <x:row r="14">
      <x:c r="A14" s="9" t="n">
        <x:v>11</x:v>
      </x:c>
      <x:c r="B14" s="9" t="str">
        <x:v>Sheffield</x:v>
      </x:c>
      <x:c r="C14" s="9" t="str">
        <x:v>Rent</x:v>
      </x:c>
      <x:c r="D14" s="9" t="n">
        <x:v>32</x:v>
      </x:c>
      <x:c r="E14" s="13" t="n">
        <x:v>63.5</x:v>
      </x:c>
      <x:c r="F14" s="13" t="n">
        <x:v>8</x:v>
      </x:c>
      <x:c r="G14" s="13" t="n">
        <x:v>69.5</x:v>
      </x:c>
      <x:c r="H14" s="13" t="n">
        <x:v>42</x:v>
      </x:c>
      <x:c r="I14" s="13" t="n">
        <x:v>48</x:v>
      </x:c>
      <x:c r="J14" s="9" t="n">
        <x:v>1</x:v>
      </x:c>
      <x:c r="K14" s="14" t="n">
        <x:v>2.29</x:v>
      </x:c>
      <x:c r="L14" s="14" t="n">
        <x:v>2.14</x:v>
      </x:c>
      <x:c r="M14" s="9" t="str">
        <x:v>Proposed — awaiting user approval</x:v>
      </x:c>
      <x:c r="N14" s="9" t="str">
        <x:v>No</x:v>
      </x:c>
    </x:row>
    <x:row r="15">
      <x:c r="A15" s="9" t="n">
        <x:v>12</x:v>
      </x:c>
      <x:c r="B15" s="9" t="str">
        <x:v>Wigan</x:v>
      </x:c>
      <x:c r="C15" s="9" t="str">
        <x:v>Both</x:v>
      </x:c>
      <x:c r="D15" s="9" t="n">
        <x:v>8</x:v>
      </x:c>
      <x:c r="E15" s="13" t="n">
        <x:v>67.6</x:v>
      </x:c>
      <x:c r="F15" s="13" t="n">
        <x:v>10</x:v>
      </x:c>
      <x:c r="G15" s="13" t="n">
        <x:v>67.6</x:v>
      </x:c>
      <x:c r="H15" s="13" t="n">
        <x:v>56.3</x:v>
      </x:c>
      <x:c r="I15" s="13" t="n">
        <x:v>56.3</x:v>
      </x:c>
      <x:c r="J15" s="9" t="n">
        <x:v>0</x:v>
      </x:c>
      <x:c r="K15" s="14" t="n">
        <x:v>2</x:v>
      </x:c>
      <x:c r="L15" s="14" t="n">
        <x:v>1.86</x:v>
      </x:c>
      <x:c r="M15" s="9" t="str">
        <x:v>Proposed — awaiting user approval</x:v>
      </x:c>
      <x:c r="N15" s="9" t="str">
        <x:v>No</x:v>
      </x:c>
    </x:row>
    <x:row r="16">
      <x:c r="A16" s="9" t="n">
        <x:v>13</x:v>
      </x:c>
      <x:c r="B16" s="9" t="str">
        <x:v>Manchester</x:v>
      </x:c>
      <x:c r="C16" s="9" t="str">
        <x:v>Both</x:v>
      </x:c>
      <x:c r="D16" s="9" t="n">
        <x:v>9</x:v>
      </x:c>
      <x:c r="E16" s="13" t="n">
        <x:v>67.6</x:v>
      </x:c>
      <x:c r="F16" s="13" t="n">
        <x:v>11</x:v>
      </x:c>
      <x:c r="G16" s="13" t="n">
        <x:v>67.6</x:v>
      </x:c>
      <x:c r="H16" s="13" t="n">
        <x:v>45</x:v>
      </x:c>
      <x:c r="I16" s="13" t="n">
        <x:v>45</x:v>
      </x:c>
      <x:c r="J16" s="9" t="n">
        <x:v>0</x:v>
      </x:c>
      <x:c r="K16" s="14" t="n">
        <x:v>2.14</x:v>
      </x:c>
      <x:c r="L16" s="14" t="n">
        <x:v>2</x:v>
      </x:c>
      <x:c r="M16" s="9" t="str">
        <x:v>Proposed — awaiting user approval</x:v>
      </x:c>
      <x:c r="N16" s="9" t="str">
        <x:v>No</x:v>
      </x:c>
    </x:row>
    <x:row r="17">
      <x:c r="A17" s="9" t="n">
        <x:v>14</x:v>
      </x:c>
      <x:c r="B17" s="9" t="str">
        <x:v>Barnsley</x:v>
      </x:c>
      <x:c r="C17" s="9" t="str">
        <x:v>Buy</x:v>
      </x:c>
      <x:c r="D17" s="9" t="n">
        <x:v>10</x:v>
      </x:c>
      <x:c r="E17" s="13" t="n">
        <x:v>66.5</x:v>
      </x:c>
      <x:c r="F17" s="13" t="n">
        <x:v>32</x:v>
      </x:c>
      <x:c r="G17" s="13" t="n">
        <x:v>63.5</x:v>
      </x:c>
      <x:c r="H17" s="13" t="n">
        <x:v>51</x:v>
      </x:c>
      <x:c r="I17" s="13" t="n">
        <x:v>51</x:v>
      </x:c>
      <x:c r="J17" s="9" t="n">
        <x:v>0</x:v>
      </x:c>
      <x:c r="K17" s="14" t="n">
        <x:v>2.14</x:v>
      </x:c>
      <x:c r="L17" s="14" t="n">
        <x:v>2</x:v>
      </x:c>
      <x:c r="M17" s="9" t="str">
        <x:v>Proposed — awaiting user approval</x:v>
      </x:c>
      <x:c r="N17" s="9" t="str">
        <x:v>No</x:v>
      </x:c>
    </x:row>
    <x:row r="18">
      <x:c r="A18" s="9" t="n">
        <x:v>15</x:v>
      </x:c>
      <x:c r="B18" s="9" t="str">
        <x:v>Telford</x:v>
      </x:c>
      <x:c r="C18" s="9" t="str">
        <x:v>Buy</x:v>
      </x:c>
      <x:c r="D18" s="9" t="n">
        <x:v>11</x:v>
      </x:c>
      <x:c r="E18" s="13" t="n">
        <x:v>66.5</x:v>
      </x:c>
      <x:c r="F18" s="13" t="n">
        <x:v>33</x:v>
      </x:c>
      <x:c r="G18" s="13" t="n">
        <x:v>63.5</x:v>
      </x:c>
      <x:c r="H18" s="13" t="n">
        <x:v>51</x:v>
      </x:c>
      <x:c r="I18" s="13" t="n">
        <x:v>51</x:v>
      </x:c>
      <x:c r="J18" s="9" t="n">
        <x:v>0</x:v>
      </x:c>
      <x:c r="K18" s="14" t="n">
        <x:v>2.14</x:v>
      </x:c>
      <x:c r="L18" s="14" t="n">
        <x:v>2</x:v>
      </x:c>
      <x:c r="M18" s="9" t="str">
        <x:v>Proposed — awaiting user approval</x:v>
      </x:c>
      <x:c r="N18" s="9" t="str">
        <x:v>No</x:v>
      </x:c>
    </x:row>
    <x:row r="19">
      <x:c r="A19" s="9" t="n">
        <x:v>16</x:v>
      </x:c>
      <x:c r="B19" s="9" t="str">
        <x:v>Worcester</x:v>
      </x:c>
      <x:c r="C19" s="9" t="str">
        <x:v>Buy</x:v>
      </x:c>
      <x:c r="D19" s="9" t="n">
        <x:v>12</x:v>
      </x:c>
      <x:c r="E19" s="13" t="n">
        <x:v>66.5</x:v>
      </x:c>
      <x:c r="F19" s="13" t="n">
        <x:v>14</x:v>
      </x:c>
      <x:c r="G19" s="13" t="n">
        <x:v>66.5</x:v>
      </x:c>
      <x:c r="H19" s="13" t="n">
        <x:v>51</x:v>
      </x:c>
      <x:c r="I19" s="13" t="n">
        <x:v>51</x:v>
      </x:c>
      <x:c r="J19" s="9" t="n">
        <x:v>0</x:v>
      </x:c>
      <x:c r="K19" s="14" t="n">
        <x:v>2</x:v>
      </x:c>
      <x:c r="L19" s="14" t="n">
        <x:v>1.86</x:v>
      </x:c>
      <x:c r="M19" s="9" t="str">
        <x:v>Proposed — awaiting user approval</x:v>
      </x:c>
      <x:c r="N19" s="9" t="str">
        <x:v>No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ecd0c8bd400644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30" hidden="0" customWidth="1"/>
    <x:col min="4" max="4" width="30" hidden="0" customWidth="1"/>
    <x:col min="5" max="5" width="52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</x:cols>
  <x:sheetData>
    <x:row r="1" ht="34" customHeight="1">
      <x:c r="A1" s="7" t="str">
        <x:v>Evidence ID</x:v>
      </x:c>
      <x:c r="B1" s="7" t="str">
        <x:v>Workstream</x:v>
      </x:c>
      <x:c r="C1" s="7" t="str">
        <x:v>Source title</x:v>
      </x:c>
      <x:c r="D1" s="7" t="str">
        <x:v>Publisher</x:v>
      </x:c>
      <x:c r="E1" s="7" t="str">
        <x:v>URL</x:v>
      </x:c>
      <x:c r="F1" s="7" t="str">
        <x:v>Data period</x:v>
      </x:c>
      <x:c r="G1" s="7" t="str">
        <x:v>Retrieval date</x:v>
      </x:c>
      <x:c r="H1" s="7" t="str">
        <x:v>Geography</x:v>
      </x:c>
      <x:c r="I1" s="7" t="str">
        <x:v>Observations / coverage</x:v>
      </x:c>
      <x:c r="J1" s="7" t="str">
        <x:v>Limitations</x:v>
      </x:c>
      <x:c r="K1" s="7" t="str">
        <x:v>Locations covered</x:v>
      </x:c>
    </x:row>
    <x:row r="2">
      <x:c r="A2" s="9" t="str">
        <x:v>GC01</x:v>
      </x:c>
      <x:c r="B2" s="9" t="str">
        <x:v>geography_crime</x:v>
      </x:c>
      <x:c r="C2" s="9" t="str">
        <x:v>Places lookup</x:v>
      </x:c>
      <x:c r="D2" s="9" t="str">
        <x:v>Postcodes.io</x:v>
      </x:c>
      <x:c r="E2" s="9" t="str">
        <x:v>https://api.postcodes.io/places</x:v>
      </x:c>
      <x:c r="F2" s="9" t="str">
        <x:v>Current lookup</x:v>
      </x:c>
      <x:c r="G2" s="9" t="str">
        <x:v>2026-09-05</x:v>
      </x:c>
      <x:c r="H2" s="9" t="str">
        <x:v>Named place centroids</x:v>
      </x:c>
      <x:c r="I2" s="9" t="str">
        <x:v>63 supplied locations</x:v>
      </x:c>
      <x:c r="J2" s="9" t="str">
        <x:v>Place-name matching is not a statutory boundary lookup; Torbay uses Torquay as a practical centre and Welsh Newport was explicitly queried as Casnewydd.</x:v>
      </x:c>
      <x:c r="K2" s="9" t="str">
        <x:v>All 63 locations</x:v>
      </x:c>
    </x:row>
    <x:row r="3">
      <x:c r="A3" s="9" t="str">
        <x:v>GC02</x:v>
      </x:c>
      <x:c r="B3" s="9" t="str">
        <x:v>geography_crime</x:v>
      </x:c>
      <x:c r="C3" s="9" t="str">
        <x:v>Nearest postcode lookup</x:v>
      </x:c>
      <x:c r="D3" s="9" t="str">
        <x:v>Postcodes.io</x:v>
      </x:c>
      <x:c r="E3" s="9" t="str">
        <x:v>https://api.postcodes.io/postcodes</x:v>
      </x:c>
      <x:c r="F3" s="9" t="str">
        <x:v>Current lookup</x:v>
      </x:c>
      <x:c r="G3" s="9" t="str">
        <x:v>2026-09-05</x:v>
      </x:c>
      <x:c r="H3" s="9" t="str">
        <x:v>Nearest postcode within 2 km of place centroid</x:v>
      </x:c>
      <x:c r="I3" s="9" t="str">
        <x:v>63 supplied locations</x:v>
      </x:c>
      <x:c r="J3" s="9" t="str">
        <x:v>Local authority code and police-force-area label describe the centroid postcode; they are not evidence about all parts of the settlement.</x:v>
      </x:c>
      <x:c r="K3" s="9" t="str">
        <x:v>All 63 locations</x:v>
      </x:c>
    </x:row>
    <x:row r="4">
      <x:c r="A4" s="9" t="str">
        <x:v>GC03</x:v>
      </x:c>
      <x:c r="B4" s="9" t="str">
        <x:v>geography_crime</x:v>
      </x:c>
      <x:c r="C4" s="9" t="str">
        <x:v>Street-level crime API</x:v>
      </x:c>
      <x:c r="D4" s="9" t="str">
        <x:v>Home Office / Police.uk</x:v>
      </x:c>
      <x:c r="E4" s="9" t="str">
        <x:v>https://data.police.uk/api/crimes-street/all-crime</x:v>
      </x:c>
      <x:c r="F4" s="9" t="str">
        <x:v>2025-08 to 2026-07</x:v>
      </x:c>
      <x:c r="G4" s="9" t="str">
        <x:v>2026-09-05</x:v>
      </x:c>
      <x:c r="H4" s="9" t="str">
        <x:v>Fixed one-mile radius around each place centroid</x:v>
      </x:c>
      <x:c r="I4" s="9" t="str">
        <x:v>696 town-month observations used in the final 58-location indicator; all categories were downloaded once per place-month and the two required categories counted locally</x:v>
      </x:c>
      <x:c r="J4" s="9" t="str">
        <x:v>All locations except Bolton, Manchester, Salford, Stockport and Wigan</x:v>
      </x:c>
      <x:c r="K4" s="9"/>
    </x:row>
    <x:row r="5">
      <x:c r="A5" s="9" t="str">
        <x:v>GC04</x:v>
      </x:c>
      <x:c r="B5" s="9" t="str">
        <x:v>geography_crime</x:v>
      </x:c>
      <x:c r="C5" s="9" t="str">
        <x:v>Street-level crime API method</x:v>
      </x:c>
      <x:c r="D5" s="9" t="str">
        <x:v>Home Office / Police.uk</x:v>
      </x:c>
      <x:c r="E5" s="9" t="str">
        <x:v>https://data.police.uk/docs/method/crime-street/</x:v>
      </x:c>
      <x:c r="F5" s="9" t="str">
        <x:v>Method current at retrieval</x:v>
      </x:c>
      <x:c r="G5" s="9" t="str">
        <x:v>2026-09-05</x:v>
      </x:c>
      <x:c r="H5" s="9" t="str">
        <x:v>Street-level anonymised crime points</x:v>
      </x:c>
      <x:c r="I5" s="9" t="str">
        <x:v>Method documentation</x:v>
      </x:c>
      <x:c r="J5" s="9" t="str">
        <x:v>Point results are anonymised and the one-mile centre circle is neither a settlement boundary nor population-normalised; centre footfall and density affect counts.</x:v>
      </x:c>
      <x:c r="K5" s="9" t="str">
        <x:v>All 63 locations</x:v>
      </x:c>
    </x:row>
    <x:row r="6">
      <x:c r="A6" s="9" t="str">
        <x:v>GC05</x:v>
      </x:c>
      <x:c r="B6" s="9" t="str">
        <x:v>geography_crime</x:v>
      </x:c>
      <x:c r="C6" s="9" t="str">
        <x:v>Crime data last-updated endpoint</x:v>
      </x:c>
      <x:c r="D6" s="9" t="str">
        <x:v>Home Office / Police.uk</x:v>
      </x:c>
      <x:c r="E6" s="9" t="str">
        <x:v>https://data.police.uk/api/crime-last-updated</x:v>
      </x:c>
      <x:c r="F6" s="9" t="str">
        <x:v>Latest available month 2026-07</x:v>
      </x:c>
      <x:c r="G6" s="9" t="str">
        <x:v>2026-09-05</x:v>
      </x:c>
      <x:c r="H6" s="9" t="str">
        <x:v>England and Wales API</x:v>
      </x:c>
      <x:c r="I6" s="9" t="str">
        <x:v>One metadata response</x:v>
      </x:c>
      <x:c r="J6" s="9" t="str">
        <x:v>Confirms recency only; it does not establish complete coverage for every force.</x:v>
      </x:c>
      <x:c r="K6" s="9" t="str">
        <x:v>All 63 locations</x:v>
      </x:c>
    </x:row>
    <x:row r="7">
      <x:c r="A7" s="9" t="str">
        <x:v>GC06</x:v>
      </x:c>
      <x:c r="B7" s="9" t="str">
        <x:v>geography_crime</x:v>
      </x:c>
      <x:c r="C7" s="9" t="str">
        <x:v>Police.uk changelog</x:v>
      </x:c>
      <x:c r="D7" s="9" t="str">
        <x:v>Home Office / Police.uk</x:v>
      </x:c>
      <x:c r="E7" s="9" t="str">
        <x:v>https://data.police.uk/changelog/</x:v>
      </x:c>
      <x:c r="F7" s="9" t="str">
        <x:v>Current at retrieval</x:v>
      </x:c>
      <x:c r="G7" s="9" t="str">
        <x:v>2026-09-05</x:v>
      </x:c>
      <x:c r="H7" s="9" t="str">
        <x:v>Force-level data availability</x:v>
      </x:c>
      <x:c r="I7" s="9" t="str">
        <x:v>Greater Manchester Police coverage warning</x:v>
      </x:c>
      <x:c r="J7" s="9" t="str">
        <x:v>Police.uk reports Greater Manchester Police crime data unavailable; sparse API point returns may be cross-force records and are not used as a safety indicator.</x:v>
      </x:c>
      <x:c r="K7" s="9" t="str">
        <x:v>Bolton, Manchester, Salford, Stockport and Wigan</x:v>
      </x:c>
    </x:row>
    <x:row r="8">
      <x:c r="A8" s="9" t="str">
        <x:v>AFF-BUY-PPD-2024-26</x:v>
      </x:c>
      <x:c r="B8" s="9" t="str">
        <x:v>affordability</x:v>
      </x:c>
      <x:c r="C8" s="9" t="str">
        <x:v>Price Paid Data yearly files (2024, 2025, 2026)</x:v>
      </x:c>
      <x:c r="D8" s="9" t="str">
        <x:v>HM Land Registry</x:v>
      </x:c>
      <x:c r="E8" s="9" t="str">
        <x:v>https://www.gov.uk/government/statistical-data-sets/price-paid-data-downloads</x:v>
      </x:c>
      <x:c r="F8" s="9" t="str">
        <x:v>Sales dated 2024-07-01 to 2026-06-30; downloaded from release updated 2026-08-28</x:v>
      </x:c>
      <x:c r="G8" s="9" t="str">
        <x:v>2026-09-05</x:v>
      </x:c>
      <x:c r="H8" s="9" t="str">
        <x:v>HMLR Town/City field; Torbay uses district field</x:v>
      </x:c>
      <x:c r="I8" s="9" t="str">
        <x:v>All 63 locations; row-level counts are in affordability.json</x:v>
      </x:c>
      <x:c r="J8" s="9" t="str">
        <x:v>All flat/maisonette sizes; no bedroom count. Standard category-A transactions only. Recent transactions may be incomplete because registration lags.</x:v>
      </x:c>
      <x:c r="K8" s="9" t="str">
        <x:v>All 63 supplied locations</x:v>
      </x:c>
    </x:row>
    <x:row r="9">
      <x:c r="A9" s="9" t="str">
        <x:v>AFF-RENT-PIPR-2026-07</x:v>
      </x:c>
      <x:c r="B9" s="9" t="str">
        <x:v>affordability</x:v>
      </x:c>
      <x:c r="C9" s="9" t="str">
        <x:v>Price Index of Private Rents, UK: monthly price statistics, 19 August 2026 edition</x:v>
      </x:c>
      <x:c r="D9" s="9" t="str">
        <x:v>Office for National Statistics</x:v>
      </x:c>
      <x:c r="E9" s="9" t="str">
        <x:v>https://www.ons.gov.uk/economy/inflationandpriceindices/datasets/priceindexofprivaterentsukmonthlypricestatistics</x:v>
      </x:c>
      <x:c r="F9" s="9" t="str">
        <x:v>2026-07</x:v>
      </x:c>
      <x:c r="G9" s="9" t="str">
        <x:v>2026-09-05</x:v>
      </x:c>
      <x:c r="H9" s="9" t="str">
        <x:v>Local authorities in England and Wales</x:v>
      </x:c>
      <x:c r="I9" s="9" t="str">
        <x:v>All 63 locations mapped to 63 local-authority proxies; observation counts not published in table</x:v>
      </x:c>
      <x:c r="J9" s="9" t="str">
        <x:v>Modelled mean for the entire private rental stock, not a median or new-let asking rent. Some local authorities are broader than named towns; latest months are provisional and lower-level estimates may be volatile.</x:v>
      </x:c>
      <x:c r="K9" s="9" t="str">
        <x:v>All 63 supplied locations</x:v>
      </x:c>
    </x:row>
    <x:row r="10">
      <x:c r="A10" s="9" t="str">
        <x:v>MT-RM-SEARCH-20260905</x:v>
      </x:c>
      <x:c r="B10" s="9" t="str">
        <x:v>market_thickness</x:v>
      </x:c>
      <x:c r="C10" s="9" t="str">
        <x:v>Rightmove one-bedroom flat search-result snapshots</x:v>
      </x:c>
      <x:c r="D10" s="9" t="str">
        <x:v>Rightmove</x:v>
      </x:c>
      <x:c r="E10" s="9" t="str">
        <x:v>https://www.rightmove.co.uk/property-for-sale.html | https://www.rightmove.co.uk/property-to-rent.html</x:v>
      </x:c>
      <x:c r="F10" s="9" t="str">
        <x:v>Snapshot 2026-09-05</x:v>
      </x:c>
      <x:c r="G10" s="9" t="str">
        <x:v>2026-09-05</x:v>
      </x:c>
      <x:c r="H10" s="9" t="str">
        <x:v>Rightmove town/city REGION identifiers, recorded per JSON row</x:v>
      </x:c>
      <x:c r="I10" s="9" t="str">
        <x:v>126 headline result counts: separate sale and rent queries for all 63 locations</x:v>
      </x:c>
      <x:c r="J10" s="9" t="str">
        <x:v>Live advertised-stock snapshot; portal-defined boundaries; counts may include duplicates and are not achieved transactions. No listing pages were opened or coded. Sale and rent exclusions differ as documented per row.</x:v>
      </x:c>
      <x:c r="K10" s="9" t="str">
        <x:v>Barnsley; Birmingham; Blackburn; Blackpool; Bolton; Bradford; Burnley; Burton-on-Trent; Cardiff; Chester; Chesterfield; Coventry; Darlington; Derby; Doncaster; Gateshead; Gloucester; Halifax; Hartlepool; Huddersfield; Hull (Kingston upon Hull); Ipswich; Kettering; Lancaster; Leeds; Leicester; Lincoln; Liverpool; Loughborough; Manchester; Merthyr Tydfil; Middlesbrough; Neath; Newcastle upon Tyne; Newport; Northampton; Norwich; Nottingham; Peterborough; Plymouth; Portsmouth; Preston; Rotherham; Salford; Sheffield; Shrewsbury; St Helens; Stafford; Stockport; Stockton-on-Tees; Stoke-on-Trent; Sunderland; Swansea; Swindon; Telford; Torbay; Wakefield; Walsall; Warrington; Wigan; Wolverhampton; Worcester; Wrexham</x:v>
      </x:c>
    </x:row>
    <x:row r="11">
      <x:c r="A11" s="9" t="str">
        <x:v>MT-RM-LOS-20260905</x:v>
      </x:c>
      <x:c r="B11" s="9" t="str">
        <x:v>market_thickness</x:v>
      </x:c>
      <x:c r="C11" s="9" t="str">
        <x:v>Rightmove location typeahead resolver</x:v>
      </x:c>
      <x:c r="D11" s="9" t="str">
        <x:v>Rightmove</x:v>
      </x:c>
      <x:c r="E11" s="9" t="str">
        <x:v>https://los.rightmove.co.uk/typeahead</x:v>
      </x:c>
      <x:c r="F11" s="9" t="str">
        <x:v>Snapshot 2026-09-05</x:v>
      </x:c>
      <x:c r="G11" s="9" t="str">
        <x:v>2026-09-05</x:v>
      </x:c>
      <x:c r="H11" s="9" t="str">
        <x:v>Place-name resolution to Rightmove REGION identifiers</x:v>
      </x:c>
      <x:c r="I11" s="9" t="str">
        <x:v>All 63 supplied location names; corrected aliases for Burton-on-Trent, Stoke-on-Trent, Stockton-on-Tees, Kingston upon Hull and St Helens</x:v>
      </x:c>
      <x:c r="J11" s="9" t="str">
        <x:v>Portal geographies are proprietary and may not match administrative boundaries; Merthyr Tydfil and Neath resolver labels contain anomalous historic-county wording and are low-confidence.</x:v>
      </x:c>
      <x:c r="K11" s="9" t="str">
        <x:v>Barnsley; Birmingham; Blackburn; Blackpool; Bolton; Bradford; Burnley; Burton-on-Trent; Cardiff; Chester; Chesterfield; Coventry; Darlington; Derby; Doncaster; Gateshead; Gloucester; Halifax; Hartlepool; Huddersfield; Hull (Kingston upon Hull); Ipswich; Kettering; Lancaster; Leeds; Leicester; Lincoln; Liverpool; Loughborough; Manchester; Merthyr Tydfil; Middlesbrough; Neath; Newcastle upon Tyne; Newport; Northampton; Norwich; Nottingham; Peterborough; Plymouth; Portsmouth; Preston; Rotherham; Salford; Sheffield; Shrewsbury; St Helens; Stafford; Stockport; Stockton-on-Tees; Stoke-on-Trent; Sunderland; Swansea; Swindon; Telford; Torbay; Wakefield; Walsall; Warrington; Wigan; Wolverhampton; Worcester; Wrexham</x:v>
      </x:c>
    </x:row>
    <x:row r="12">
      <x:c r="A12" s="9" t="str">
        <x:v>TR01</x:v>
      </x:c>
      <x:c r="B12" s="9" t="str">
        <x:v>transport</x:v>
      </x:c>
      <x:c r="C12" s="9" t="str">
        <x:v>National Rail journey planner</x:v>
      </x:c>
      <x:c r="D12" s="9" t="str">
        <x:v>Rail Delivery Group</x:v>
      </x:c>
      <x:c r="E12" s="9" t="str">
        <x:v>https://www.nationalrail.co.uk/journey-planner/</x:v>
      </x:c>
      <x:c r="F12" s="9" t="str">
        <x:v>Current timetable planner; representative weekday screen</x:v>
      </x:c>
      <x:c r="G12" s="9" t="str">
        <x:v>2026-09-05</x:v>
      </x:c>
      <x:c r="H12" s="9" t="str">
        <x:v>England and Wales rail network</x:v>
      </x:c>
      <x:c r="I12" s="9" t="str">
        <x:v>All 63 locations</x:v>
      </x:c>
      <x:c r="J12" s="9" t="str">
        <x:v>Journey duration varies by date/time and disruption; values are rounded screening snapshots, not guaranteed schedules.</x:v>
      </x:c>
      <x:c r="K12" s="9" t="str">
        <x:v>All 63</x:v>
      </x:c>
    </x:row>
    <x:row r="13">
      <x:c r="A13" s="9" t="str">
        <x:v>TR02</x:v>
      </x:c>
      <x:c r="B13" s="9" t="str">
        <x:v>transport</x:v>
      </x:c>
      <x:c r="C13" s="9" t="str">
        <x:v>Traveline journey planner</x:v>
      </x:c>
      <x:c r="D13" s="9" t="str">
        <x:v>Traveline Information Ltd</x:v>
      </x:c>
      <x:c r="E13" s="9" t="str">
        <x:v>https://www.traveline.info/</x:v>
      </x:c>
      <x:c r="F13" s="9" t="str">
        <x:v>Current public-transport information</x:v>
      </x:c>
      <x:c r="G13" s="9" t="str">
        <x:v>2026-09-05</x:v>
      </x:c>
      <x:c r="H13" s="9" t="str">
        <x:v>Great Britain</x:v>
      </x:c>
      <x:c r="I13" s="9" t="str">
        <x:v>All 63 locations</x:v>
      </x:c>
      <x:c r="J13" s="9" t="str">
        <x:v>Useful for broad mode/network availability; does not itself measure frequency quality in this screen.</x:v>
      </x:c>
      <x:c r="K13" s="9" t="str">
        <x:v>All 63</x:v>
      </x:c>
    </x:row>
    <x:row r="14">
      <x:c r="A14" s="9" t="str">
        <x:v>TR03</x:v>
      </x:c>
      <x:c r="B14" s="9" t="str">
        <x:v>transport</x:v>
      </x:c>
      <x:c r="C14" s="9" t="str">
        <x:v>Transport for West Midlands</x:v>
      </x:c>
      <x:c r="D14" s="9" t="str">
        <x:v>West Midlands Combined Authority</x:v>
      </x:c>
      <x:c r="E14" s="9" t="str">
        <x:v>https://www.tfwm.org.uk/</x:v>
      </x:c>
      <x:c r="F14" s="9" t="str">
        <x:v>Current network information</x:v>
      </x:c>
      <x:c r="G14" s="9" t="str">
        <x:v>2026-09-05</x:v>
      </x:c>
      <x:c r="H14" s="9" t="str">
        <x:v>West Midlands transport area</x:v>
      </x:c>
      <x:c r="I14" s="9" t="str">
        <x:v>5 supplied locations</x:v>
      </x:c>
      <x:c r="J14" s="9" t="str">
        <x:v>Regional source; Telford lies outside the core TfWM area and is supported mainly by Traveline.</x:v>
      </x:c>
      <x:c r="K14" s="9" t="str">
        <x:v>Birmingham | Coventry | Telford | Walsall | Wolverhampton</x:v>
      </x:c>
    </x:row>
    <x:row r="15">
      <x:c r="A15" s="9" t="str">
        <x:v>TR04</x:v>
      </x:c>
      <x:c r="B15" s="9" t="str">
        <x:v>transport</x:v>
      </x:c>
      <x:c r="C15" s="9" t="str">
        <x:v>Bee Network</x:v>
      </x:c>
      <x:c r="D15" s="9" t="str">
        <x:v>Transport for Greater Manchester</x:v>
      </x:c>
      <x:c r="E15" s="9" t="str">
        <x:v>https://tfgm.com/</x:v>
      </x:c>
      <x:c r="F15" s="9" t="str">
        <x:v>Current network information</x:v>
      </x:c>
      <x:c r="G15" s="9" t="str">
        <x:v>2026-09-05</x:v>
      </x:c>
      <x:c r="H15" s="9" t="str">
        <x:v>Greater Manchester</x:v>
      </x:c>
      <x:c r="I15" s="9" t="str">
        <x:v>5 supplied locations</x:v>
      </x:c>
      <x:c r="J15" s="9" t="str">
        <x:v>Town-level network evidence; exact stop accessibility varies by neighbourhood.</x:v>
      </x:c>
      <x:c r="K15" s="9" t="str">
        <x:v>Bolton | Manchester | Salford | Stockport | Wigan</x:v>
      </x:c>
    </x:row>
    <x:row r="16">
      <x:c r="A16" s="9" t="str">
        <x:v>TR05</x:v>
      </x:c>
      <x:c r="B16" s="9" t="str">
        <x:v>transport</x:v>
      </x:c>
      <x:c r="C16" s="9" t="str">
        <x:v>Metro</x:v>
      </x:c>
      <x:c r="D16" s="9" t="str">
        <x:v>West Yorkshire Combined Authority</x:v>
      </x:c>
      <x:c r="E16" s="9" t="str">
        <x:v>https://www.wymetro.com/</x:v>
      </x:c>
      <x:c r="F16" s="9" t="str">
        <x:v>Current network information</x:v>
      </x:c>
      <x:c r="G16" s="9" t="str">
        <x:v>2026-09-05</x:v>
      </x:c>
      <x:c r="H16" s="9" t="str">
        <x:v>West Yorkshire</x:v>
      </x:c>
      <x:c r="I16" s="9" t="str">
        <x:v>5 supplied locations</x:v>
      </x:c>
      <x:c r="J16" s="9" t="str">
        <x:v>Regional network source; exact frequency and walk access not audited.</x:v>
      </x:c>
      <x:c r="K16" s="9" t="str">
        <x:v>Bradford | Halifax | Huddersfield | Leeds | Wakefield</x:v>
      </x:c>
    </x:row>
    <x:row r="17">
      <x:c r="A17" s="9" t="str">
        <x:v>TR06</x:v>
      </x:c>
      <x:c r="B17" s="9" t="str">
        <x:v>transport</x:v>
      </x:c>
      <x:c r="C17" s="9" t="str">
        <x:v>Travel South Yorkshire</x:v>
      </x:c>
      <x:c r="D17" s="9" t="str">
        <x:v>South Yorkshire Mayoral Combined Authority</x:v>
      </x:c>
      <x:c r="E17" s="9" t="str">
        <x:v>https://www.travelsouthyorkshire.com/</x:v>
      </x:c>
      <x:c r="F17" s="9" t="str">
        <x:v>Current network information</x:v>
      </x:c>
      <x:c r="G17" s="9" t="str">
        <x:v>2026-09-05</x:v>
      </x:c>
      <x:c r="H17" s="9" t="str">
        <x:v>South Yorkshire</x:v>
      </x:c>
      <x:c r="I17" s="9" t="str">
        <x:v>4 supplied locations</x:v>
      </x:c>
      <x:c r="J17" s="9" t="str">
        <x:v>Regional network source; exact frequency and walk access not audited.</x:v>
      </x:c>
      <x:c r="K17" s="9" t="str">
        <x:v>Barnsley | Doncaster | Rotherham | Sheffield</x:v>
      </x:c>
    </x:row>
    <x:row r="18">
      <x:c r="A18" s="9" t="str">
        <x:v>TR07</x:v>
      </x:c>
      <x:c r="B18" s="9" t="str">
        <x:v>transport</x:v>
      </x:c>
      <x:c r="C18" s="9" t="str">
        <x:v>Nexus</x:v>
      </x:c>
      <x:c r="D18" s="9" t="str">
        <x:v>Nexus</x:v>
      </x:c>
      <x:c r="E18" s="9" t="str">
        <x:v>https://www.nexus.org.uk/</x:v>
      </x:c>
      <x:c r="F18" s="9" t="str">
        <x:v>Current network information</x:v>
      </x:c>
      <x:c r="G18" s="9" t="str">
        <x:v>2026-09-05</x:v>
      </x:c>
      <x:c r="H18" s="9" t="str">
        <x:v>Tyne and Wear</x:v>
      </x:c>
      <x:c r="I18" s="9" t="str">
        <x:v>3 supplied locations</x:v>
      </x:c>
      <x:c r="J18" s="9" t="str">
        <x:v>Gateshead national journeys use Newcastle as a practical gateway; transfer time is represented coarsely.</x:v>
      </x:c>
      <x:c r="K18" s="9" t="str">
        <x:v>Gateshead | Newcastle upon Tyne | Sunderland</x:v>
      </x:c>
    </x:row>
    <x:row r="19">
      <x:c r="A19" s="9" t="str">
        <x:v>TR08</x:v>
      </x:c>
      <x:c r="B19" s="9" t="str">
        <x:v>transport</x:v>
      </x:c>
      <x:c r="C19" s="9" t="str">
        <x:v>Merseytravel</x:v>
      </x:c>
      <x:c r="D19" s="9" t="str">
        <x:v>Liverpool City Region Combined Authority</x:v>
      </x:c>
      <x:c r="E19" s="9" t="str">
        <x:v>https://www.merseytravel.gov.uk/</x:v>
      </x:c>
      <x:c r="F19" s="9" t="str">
        <x:v>Current network information</x:v>
      </x:c>
      <x:c r="G19" s="9" t="str">
        <x:v>2026-09-05</x:v>
      </x:c>
      <x:c r="H19" s="9" t="str">
        <x:v>Liverpool City Region</x:v>
      </x:c>
      <x:c r="I19" s="9" t="str">
        <x:v>2 supplied locations</x:v>
      </x:c>
      <x:c r="J19" s="9" t="str">
        <x:v>Regional network source; exact neighbourhood access not audited.</x:v>
      </x:c>
      <x:c r="K19" s="9" t="str">
        <x:v>Liverpool | St Helens</x:v>
      </x:c>
    </x:row>
    <x:row r="20">
      <x:c r="A20" s="9" t="str">
        <x:v>TR09</x:v>
      </x:c>
      <x:c r="B20" s="9" t="str">
        <x:v>transport</x:v>
      </x:c>
      <x:c r="C20" s="9" t="str">
        <x:v>Transport for Wales</x:v>
      </x:c>
      <x:c r="D20" s="9" t="str">
        <x:v>Transport for Wales</x:v>
      </x:c>
      <x:c r="E20" s="9" t="str">
        <x:v>https://tfw.wales/</x:v>
      </x:c>
      <x:c r="F20" s="9" t="str">
        <x:v>Current network information</x:v>
      </x:c>
      <x:c r="G20" s="9" t="str">
        <x:v>2026-09-05</x:v>
      </x:c>
      <x:c r="H20" s="9" t="str">
        <x:v>Wales and border rail network</x:v>
      </x:c>
      <x:c r="I20" s="9" t="str">
        <x:v>6 supplied locations</x:v>
      </x:c>
      <x:c r="J20" s="9" t="str">
        <x:v>Official operator/network source; journey times still vary by timetable and connection.</x:v>
      </x:c>
      <x:c r="K20" s="9" t="str">
        <x:v>Cardiff | Merthyr Tydfil | Neath | Newport | Swansea | Wrexham</x:v>
      </x:c>
    </x:row>
    <x:row r="21">
      <x:c r="A21" s="9" t="str">
        <x:v>TR10</x:v>
      </x:c>
      <x:c r="B21" s="9" t="str">
        <x:v>transport</x:v>
      </x:c>
      <x:c r="C21" s="9" t="str">
        <x:v>Transport Nottingham</x:v>
      </x:c>
      <x:c r="D21" s="9" t="str">
        <x:v>Nottingham City Council</x:v>
      </x:c>
      <x:c r="E21" s="9" t="str">
        <x:v>https://www.transportnottingham.com/</x:v>
      </x:c>
      <x:c r="F21" s="9" t="str">
        <x:v>Current network information</x:v>
      </x:c>
      <x:c r="G21" s="9" t="str">
        <x:v>2026-09-05</x:v>
      </x:c>
      <x:c r="H21" s="9" t="str">
        <x:v>Nottingham</x:v>
      </x:c>
      <x:c r="I21" s="9" t="str">
        <x:v>1 supplied location</x:v>
      </x:c>
      <x:c r="J21" s="9" t="str">
        <x:v>City-level source; does not establish accessibility for every neighbourhood.</x:v>
      </x:c>
      <x:c r="K21" s="9" t="str">
        <x:v>Nottingham</x:v>
      </x:c>
    </x:row>
    <x:row r="22">
      <x:c r="A22" s="9" t="str">
        <x:v>TR11</x:v>
      </x:c>
      <x:c r="B22" s="9" t="str">
        <x:v>transport</x:v>
      </x:c>
      <x:c r="C22" s="9" t="str">
        <x:v>Blackpool Transport</x:v>
      </x:c>
      <x:c r="D22" s="9" t="str">
        <x:v>Blackpool Transport Services</x:v>
      </x:c>
      <x:c r="E22" s="9" t="str">
        <x:v>https://www.blackpooltransport.com/</x:v>
      </x:c>
      <x:c r="F22" s="9" t="str">
        <x:v>Current network information</x:v>
      </x:c>
      <x:c r="G22" s="9" t="str">
        <x:v>2026-09-05</x:v>
      </x:c>
      <x:c r="H22" s="9" t="str">
        <x:v>Blackpool and Fylde Coast</x:v>
      </x:c>
      <x:c r="I22" s="9" t="str">
        <x:v>1 supplied location</x:v>
      </x:c>
      <x:c r="J22" s="9" t="str">
        <x:v>Operator source; service patterns and seasonal demand vary.</x:v>
      </x:c>
      <x:c r="K22" s="9" t="str">
        <x:v>Blackpool</x:v>
      </x:c>
    </x:row>
    <x:row r="23">
      <x:c r="A23" s="9" t="str">
        <x:v>ENV001</x:v>
      </x:c>
      <x:c r="B23" s="9" t="str">
        <x:v>environment</x:v>
      </x:c>
      <x:c r="C23" s="9" t="str">
        <x:v>Explaining the 2022 noise maps</x:v>
      </x:c>
      <x:c r="D23" s="9" t="str">
        <x:v>Department for Environment, Food &amp; Rural Affairs</x:v>
      </x:c>
      <x:c r="E23" s="9" t="str">
        <x:v>https://www.gov.uk/government/publications/strategic-noise-mapping-2022/explaining-the-2022-noise-maps</x:v>
      </x:c>
      <x:c r="F23" s="9" t="str">
        <x:v>2022 mapping round; published 2024</x:v>
      </x:c>
      <x:c r="G23" s="9" t="str">
        <x:v>2026-09-05</x:v>
      </x:c>
      <x:c r="H23" s="9" t="str">
        <x:v>England: major roads, railways, airports and agglomerations</x:v>
      </x:c>
      <x:c r="I23" s="9" t="str">
        <x:v>All 57 English candidate locations</x:v>
      </x:c>
      <x:c r="J23" s="9" t="str">
        <x:v>Strategic mapping identifies modelled transport-noise exposure, not interior noise or every local source; used only as a broad screen.</x:v>
      </x:c>
      <x:c r="K23" s="9" t="str">
        <x:v>Barnsley; Birmingham; Blackburn; Blackpool; Bolton; Bradford; Burnley; Burton-on-Trent; Chester; Chesterfield; Coventry; Darlington; Derby; Doncaster; Gateshead; Gloucester; Halifax; Hartlepool; Huddersfield; Hull (Kingston upon Hull); Ipswich; Kettering; Lancaster; Leeds; Leicester; Lincoln; Liverpool; Loughborough; Manchester; Middlesbrough; Newcastle upon Tyne; Northampton; Norwich; Nottingham; Peterborough; Plymouth; Portsmouth; Preston; Rotherham; Salford; Sheffield; Shrewsbury; St Helens; Stafford; Stockport; Stockton-on-Tees; Stoke-on-Trent; Sunderland; Swindon; Telford; Torbay; Wakefield; Walsall; Warrington; Wigan; Wolverhampton; Worcester</x:v>
      </x:c>
    </x:row>
    <x:row r="24">
      <x:c r="A24" s="9" t="str">
        <x:v>ENV002</x:v>
      </x:c>
      <x:c r="B24" s="9" t="str">
        <x:v>environment</x:v>
      </x:c>
      <x:c r="C24" s="9" t="str">
        <x:v>Environmental Noise Mapping 2022</x:v>
      </x:c>
      <x:c r="D24" s="9" t="str">
        <x:v>Welsh Government / DataMapWales</x:v>
      </x:c>
      <x:c r="E24" s="9" t="str">
        <x:v>https://datamap.gov.wales/layergroups/geonode%3AEnvironmental_Noise_Mapping_2022</x:v>
      </x:c>
      <x:c r="F24" s="9" t="str">
        <x:v>2022</x:v>
      </x:c>
      <x:c r="G24" s="9" t="str">
        <x:v>2026-09-05</x:v>
      </x:c>
      <x:c r="H24" s="9" t="str">
        <x:v>Wales: major roads, major railways and large urban areas</x:v>
      </x:c>
      <x:c r="I24" s="9" t="str">
        <x:v>All 6 Welsh candidate locations</x:v>
      </x:c>
      <x:c r="J24" s="9" t="str">
        <x:v>Modelled strategic layers omit fine street-level and building-insulation effects; used only as a broad screen.</x:v>
      </x:c>
      <x:c r="K24" s="9" t="str">
        <x:v>Cardiff; Merthyr Tydfil; Neath; Newport; Swansea; Wrexham</x:v>
      </x:c>
    </x:row>
    <x:row r="25">
      <x:c r="A25" s="9" t="str">
        <x:v>ENV003</x:v>
      </x:c>
      <x:c r="B25" s="9" t="str">
        <x:v>environment</x:v>
      </x:c>
      <x:c r="C25" s="9" t="str">
        <x:v>English indices of deprivation 2025</x:v>
      </x:c>
      <x:c r="D25" s="9" t="str">
        <x:v>Ministry of Housing, Communities and Local Government</x:v>
      </x:c>
      <x:c r="E25" s="9" t="str">
        <x:v>https://www.gov.uk/government/statistics/english-indices-of-deprivation-2025</x:v>
      </x:c>
      <x:c r="F25" s="9" t="str">
        <x:v>2025 release</x:v>
      </x:c>
      <x:c r="G25" s="9" t="str">
        <x:v>2026-09-05</x:v>
      </x:c>
      <x:c r="H25" s="9" t="str">
        <x:v>England LSOAs</x:v>
      </x:c>
      <x:c r="I25" s="9" t="str">
        <x:v>All 57 English candidate locations</x:v>
      </x:c>
      <x:c r="J25" s="9" t="str">
        <x:v>Deprivation is not a direct measure of appearance or upkeep and within-town variation is large; used cautiously as context for condition judgements.</x:v>
      </x:c>
      <x:c r="K25" s="9" t="str">
        <x:v>Barnsley; Birmingham; Blackburn; Blackpool; Bolton; Bradford; Burnley; Burton-on-Trent; Chester; Chesterfield; Coventry; Darlington; Derby; Doncaster; Gateshead; Gloucester; Halifax; Hartlepool; Huddersfield; Hull (Kingston upon Hull); Ipswich; Kettering; Lancaster; Leeds; Leicester; Lincoln; Liverpool; Loughborough; Manchester; Middlesbrough; Newcastle upon Tyne; Northampton; Norwich; Nottingham; Peterborough; Plymouth; Portsmouth; Preston; Rotherham; Salford; Sheffield; Shrewsbury; St Helens; Stafford; Stockport; Stockton-on-Tees; Stoke-on-Trent; Sunderland; Swindon; Telford; Torbay; Wakefield; Walsall; Warrington; Wigan; Wolverhampton; Worcester</x:v>
      </x:c>
    </x:row>
    <x:row r="26">
      <x:c r="A26" s="9" t="str">
        <x:v>ENV004</x:v>
      </x:c>
      <x:c r="B26" s="9" t="str">
        <x:v>environment</x:v>
      </x:c>
      <x:c r="C26" s="9" t="str">
        <x:v>Welsh Index of Multiple Deprivation 2025</x:v>
      </x:c>
      <x:c r="D26" s="9" t="str">
        <x:v>Welsh Government</x:v>
      </x:c>
      <x:c r="E26" s="9" t="str">
        <x:v>https://stats.gov.wales/en-GB/c67b9e08-dacc-439a-a244-2fce79b11400</x:v>
      </x:c>
      <x:c r="F26" s="9" t="str">
        <x:v>2025</x:v>
      </x:c>
      <x:c r="G26" s="9" t="str">
        <x:v>2026-09-05</x:v>
      </x:c>
      <x:c r="H26" s="9" t="str">
        <x:v>Wales LSOAs</x:v>
      </x:c>
      <x:c r="I26" s="9" t="str">
        <x:v>All 6 Welsh candidate locations</x:v>
      </x:c>
      <x:c r="J26" s="9" t="str">
        <x:v>WIMD is not a direct visual-condition measure; physical environment has limited weight and within-town variation is large.</x:v>
      </x:c>
      <x:c r="K26" s="9" t="str">
        <x:v>Cardiff; Merthyr Tydfil; Neath; Newport; Swansea; Wrexham</x:v>
      </x:c>
    </x:row>
    <x:row r="27">
      <x:c r="A27" s="9" t="str">
        <x:v>ENV005</x:v>
      </x:c>
      <x:c r="B27" s="9" t="str">
        <x:v>environment</x:v>
      </x:c>
      <x:c r="C27" s="9" t="str">
        <x:v>OpenStreetMap current map</x:v>
      </x:c>
      <x:c r="D27" s="9" t="str">
        <x:v>OpenStreetMap contributors / OpenStreetMap Foundation</x:v>
      </x:c>
      <x:c r="E27" s="9" t="str">
        <x:v>https://www.openstreetmap.org/</x:v>
      </x:c>
      <x:c r="F27" s="9" t="str">
        <x:v>Live map at retrieval</x:v>
      </x:c>
      <x:c r="G27" s="9" t="str">
        <x:v>2026-09-05</x:v>
      </x:c>
      <x:c r="H27" s="9" t="str">
        <x:v>Candidate built-up areas</x:v>
      </x:c>
      <x:c r="I27" s="9" t="str">
        <x:v>All 63 candidate locations</x:v>
      </x:c>
      <x:c r="J27" s="9" t="str">
        <x:v>Map context supports identification of conspicuous roads, railways, airports, industrial land and broad urban form; it does not establish actual noise, dereliction or upkeep.</x:v>
      </x:c>
      <x:c r="K27" s="9" t="str">
        <x:v>Barnsley; Birmingham; Blackburn; Blackpool; Bolton; Bradford; Burnley; Burton-on-Trent; Cardiff; Chester; Chesterfield; Coventry; Darlington; Derby; Doncaster; Gateshead; Gloucester; Halifax; Hartlepool; Huddersfield; Hull (Kingston upon Hull); Ipswich; Kettering; Lancaster; Leeds; Leicester; Lincoln; Liverpool; Loughborough; Manchester; Merthyr Tydfil; Middlesbrough; Neath; Newcastle upon Tyne; Newport; Northampton; Norwich; Nottingham; Peterborough; Plymouth; Portsmouth; Preston; Rotherham; Salford; Sheffield; Shrewsbury; St Helens; Stafford; Stockport; Stockton-on-Tees; Stoke-on-Trent; Sunderland; Swansea; Swindon; Telford; Torbay; Wakefield; Walsall; Warrington; Wigan; Wolverhampton; Worcester; Wrexham</x:v>
      </x:c>
    </x:row>
  </x:sheetData>
  <x:pageMargins left="0.7" right="0.7" top="0.75" bottom="0.75" header="0.3" footer="0.3"/>
  <x:tableParts count="1">
    <x:tablePart xmlns:r="http://schemas.openxmlformats.org/officeDocument/2006/relationships" r:id="R0c86f8a58deb44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0" hidden="0" customWidth="1"/>
    <x:col min="4" max="4" width="14" hidden="0" customWidth="1"/>
    <x:col min="5" max="5" width="42" hidden="0" customWidth="1"/>
    <x:col min="6" max="6" width="42" hidden="0" customWidth="1"/>
  </x:cols>
  <x:sheetData>
    <x:row r="1">
      <x:c r="A1" s="11" t="str">
        <x:v>Stage 0–2 methodology and thresholds</x:v>
      </x:c>
      <x:c r="B1" s="11" t="str">
        <x:v>Stage 0–2 methodology and thresholds</x:v>
      </x:c>
      <x:c r="C1" s="11" t="str">
        <x:v>Stage 0–2 methodology and thresholds</x:v>
      </x:c>
      <x:c r="D1" s="11" t="str">
        <x:v>Stage 0–2 methodology and thresholds</x:v>
      </x:c>
      <x:c r="E1" s="11" t="str">
        <x:v>Stage 0–2 methodology and thresholds</x:v>
      </x:c>
      <x:c r="F1" s="11" t="str">
        <x:v>Stage 0–2 methodology and thresholds</x:v>
      </x:c>
    </x:row>
    <x:row r="3" ht="34" customHeight="1">
      <x:c r="A3" s="7" t="str">
        <x:v>Item</x:v>
      </x:c>
      <x:c r="B3" s="7" t="str">
        <x:v>Value</x:v>
      </x:c>
      <x:c r="C3" s="7" t="str">
        <x:v>Weight</x:v>
      </x:c>
      <x:c r="D3" s="7" t="str">
        <x:v>Status</x:v>
      </x:c>
      <x:c r="E3" s="7" t="str">
        <x:v>Interpretation</x:v>
      </x:c>
      <x:c r="F3" s="7" t="str">
        <x:v>Limitation</x:v>
      </x:c>
    </x:row>
    <x:row r="4">
      <x:c r="A4" s="9" t="str">
        <x:v>Scope</x:v>
      </x:c>
      <x:c r="B4" s="9" t="str">
        <x:v>Stages 0, 1 and 2 only</x:v>
      </x:c>
      <x:c r="C4" s="9"/>
      <x:c r="D4" s="9" t="str">
        <x:v>Frozen</x:v>
      </x:c>
      <x:c r="E4" s="9" t="str">
        <x:v>63-location broad screen and proposed shortlist</x:v>
      </x:c>
      <x:c r="F4" s="9" t="str">
        <x:v>No Stage 3 subarea/listing/building research</x:v>
      </x:c>
    </x:row>
    <x:row r="5">
      <x:c r="A5" s="9" t="str">
        <x:v>Affordability</x:v>
      </x:c>
      <x:c r="B5" s="9" t="str">
        <x:v>Tenure-specific tertiles</x:v>
      </x:c>
      <x:c r="C5" s="9" t="n">
        <x:v>15</x:v>
      </x:c>
      <x:c r="D5" s="9" t="str">
        <x:v>Screening</x:v>
      </x:c>
      <x:c r="E5" s="9" t="str">
        <x:v>Cheapest third 5; middle third 3; most expensive third 1</x:v>
      </x:c>
      <x:c r="F5" s="9" t="str">
        <x:v>Buy is all-flat achieved proxy; rent is modelled one-bed average</x:v>
      </x:c>
    </x:row>
    <x:row r="6">
      <x:c r="A6" s="9" t="str">
        <x:v>Safety</x:v>
      </x:c>
      <x:c r="B6" s="9" t="str">
        <x:v>1–5 relative centre indicator</x:v>
      </x:c>
      <x:c r="C6" s="9" t="n">
        <x:v>15</x:v>
      </x:c>
      <x:c r="D6" s="9" t="str">
        <x:v>Screening</x:v>
      </x:c>
      <x:c r="E6" s="9" t="str">
        <x:v>Lower violent/sexual and ASB counts are favourable</x:v>
      </x:c>
      <x:c r="F6" s="9" t="str">
        <x:v>Fixed-radius centre proxy; not population-normalised or neighbourhood evidence</x:v>
      </x:c>
    </x:row>
    <x:row r="7">
      <x:c r="A7" s="9" t="str">
        <x:v>Local transport</x:v>
      </x:c>
      <x:c r="B7" s="9" t="str">
        <x:v>1–5 coarse car-free score</x:v>
      </x:c>
      <x:c r="C7" s="9" t="n">
        <x:v>15</x:v>
      </x:c>
      <x:c r="D7" s="9" t="str">
        <x:v>Screening</x:v>
      </x:c>
      <x:c r="E7" s="9" t="str">
        <x:v>Bus, rail and urban transit breadth</x:v>
      </x:c>
      <x:c r="F7" s="9" t="str">
        <x:v>Not stop/frequency/walkability modelling</x:v>
      </x:c>
    </x:row>
    <x:row r="8">
      <x:c r="A8" s="9" t="str">
        <x:v>Local condition</x:v>
      </x:c>
      <x:c r="B8" s="9" t="str">
        <x:v>1–5 coarse judgement</x:v>
      </x:c>
      <x:c r="C8" s="9" t="n">
        <x:v>15</x:v>
      </x:c>
      <x:c r="D8" s="9" t="str">
        <x:v>Screening</x:v>
      </x:c>
      <x:c r="E8" s="9" t="str">
        <x:v>Broadly pleasant and cared-for urban fabric</x:v>
      </x:c>
      <x:c r="F8" s="9" t="str">
        <x:v>No detailed visual survey</x:v>
      </x:c>
    </x:row>
    <x:row r="9">
      <x:c r="A9" s="9" t="str">
        <x:v>Quiet</x:v>
      </x:c>
      <x:c r="B9" s="9" t="str">
        <x:v>1–5 coarse judgement</x:v>
      </x:c>
      <x:c r="C9" s="9" t="n">
        <x:v>15</x:v>
      </x:c>
      <x:c r="D9" s="9" t="str">
        <x:v>Screening</x:v>
      </x:c>
      <x:c r="E9" s="9" t="str">
        <x:v>Lower conspicuous road/rail/airport/industry/nightlife exposure</x:v>
      </x:c>
      <x:c r="F9" s="9" t="str">
        <x:v>Not street or building noise modelling</x:v>
      </x:c>
    </x:row>
    <x:row r="10">
      <x:c r="A10" s="9" t="str">
        <x:v>One-bed/tower stock</x:v>
      </x:c>
      <x:c r="B10" s="9" t="str">
        <x:v>Market score with tower adjustment</x:v>
      </x:c>
      <x:c r="C10" s="9" t="n">
        <x:v>15</x:v>
      </x:c>
      <x:c r="D10" s="9" t="str">
        <x:v>Screening</x:v>
      </x:c>
      <x:c r="E10" s="9" t="str">
        <x:v>Known +0.5; Likely 0; Unclear -0.5, capped 1–5</x:v>
      </x:c>
      <x:c r="F10" s="9" t="str">
        <x:v>Portal snapshot; tower remains unverified until Stage 3</x:v>
      </x:c>
    </x:row>
    <x:row r="11">
      <x:c r="A11" s="9" t="str">
        <x:v>National transport</x:v>
      </x:c>
      <x:c r="B11" s="9" t="str">
        <x:v>1–5 journey score</x:v>
      </x:c>
      <x:c r="C11" s="9" t="n">
        <x:v>10</x:v>
      </x:c>
      <x:c r="D11" s="9" t="str">
        <x:v>Screening</x:v>
      </x:c>
      <x:c r="E11" s="9" t="str">
        <x:v>Representative weekday journeys to London/Birmingham</x:v>
      </x:c>
      <x:c r="F11" s="9" t="str">
        <x:v>Timetables and gateway stations require recheck</x:v>
      </x:c>
    </x:row>
    <x:row r="12">
      <x:c r="A12" s="9" t="str">
        <x:v>Weighted total</x:v>
      </x:c>
      <x:c r="B12" s="9" t="str">
        <x:v>0–100</x:v>
      </x:c>
      <x:c r="C12" s="9" t="n">
        <x:v>100</x:v>
      </x:c>
      <x:c r="D12" s="9" t="str">
        <x:v>Preliminary</x:v>
      </x:c>
      <x:c r="E12" s="9" t="str">
        <x:v>Sum(score × weight) ÷ 5</x:v>
      </x:c>
      <x:c r="F12" s="9" t="str">
        <x:v>Not a final A–E grade</x:v>
      </x:c>
    </x:row>
    <x:row r="13">
      <x:c r="A13" s="9" t="str">
        <x:v>Confidence</x:v>
      </x:c>
      <x:c r="B13" s="9" t="str">
        <x:v>High=3, Medium=2, Low=1</x:v>
      </x:c>
      <x:c r="C13" s="9"/>
      <x:c r="D13" s="9" t="str">
        <x:v>Separate</x:v>
      </x:c>
      <x:c r="E13" s="9" t="str">
        <x:v>Displayed independently of factor score</x:v>
      </x:c>
      <x:c r="F13" s="9" t="str">
        <x:v>Does not silently turn unknown into average</x:v>
      </x:c>
    </x:row>
    <x:row r="14">
      <x:c r="A14" s="9" t="str">
        <x:v>Shortlist</x:v>
      </x:c>
      <x:c r="B14" s="9" t="str">
        <x:v>Top 12 each tenure, union capped at 20</x:v>
      </x:c>
      <x:c r="C14" s="9"/>
      <x:c r="D14" s="9" t="str">
        <x:v>Proposed</x:v>
      </x:c>
      <x:c r="E14" s="9" t="str">
        <x:v>Tie-break: score, weakness, priority subtotal, confidence</x:v>
      </x:c>
      <x:c r="F14" s="9" t="str">
        <x:v>Requires user approval</x:v>
      </x:c>
    </x:row>
    <x:row r="15">
      <x:c r="A15" s="9" t="str">
        <x:v>Buy cheap-third ceiling</x:v>
      </x:c>
      <x:c r="B15" s="10" t="n">
        <x:v>110000</x:v>
      </x:c>
      <x:c r="C15" s="9"/>
      <x:c r="D15" s="9" t="str">
        <x:v>Calculated</x:v>
      </x:c>
      <x:c r="E15" s="9" t="str">
        <x:v>Score 5 at or below</x:v>
      </x:c>
      <x:c r="F15" s="9" t="str">
        <x:v>Ties are kept together</x:v>
      </x:c>
    </x:row>
    <x:row r="16">
      <x:c r="A16" s="9" t="str">
        <x:v>Buy expensive-third floor</x:v>
      </x:c>
      <x:c r="B16" s="10" t="n">
        <x:v>137000</x:v>
      </x:c>
      <x:c r="C16" s="9"/>
      <x:c r="D16" s="9" t="str">
        <x:v>Calculated</x:v>
      </x:c>
      <x:c r="E16" s="9" t="str">
        <x:v>Score 1 at or above</x:v>
      </x:c>
      <x:c r="F16" s="9" t="str">
        <x:v>Ties are kept together</x:v>
      </x:c>
    </x:row>
    <x:row r="17">
      <x:c r="A17" s="9" t="str">
        <x:v>Rent cheap-third ceiling</x:v>
      </x:c>
      <x:c r="B17" s="10" t="n">
        <x:v>578</x:v>
      </x:c>
      <x:c r="C17" s="9"/>
      <x:c r="D17" s="9" t="str">
        <x:v>Calculated</x:v>
      </x:c>
      <x:c r="E17" s="9" t="str">
        <x:v>Score 5 at or below</x:v>
      </x:c>
      <x:c r="F17" s="9" t="str">
        <x:v>Ties are kept together</x:v>
      </x:c>
    </x:row>
    <x:row r="18">
      <x:c r="A18" s="9" t="str">
        <x:v>Rent expensive-third floor</x:v>
      </x:c>
      <x:c r="B18" s="10" t="n">
        <x:v>696</x:v>
      </x:c>
      <x:c r="C18" s="9"/>
      <x:c r="D18" s="9" t="str">
        <x:v>Calculated</x:v>
      </x:c>
      <x:c r="E18" s="9" t="str">
        <x:v>Score 1 at or above</x:v>
      </x:c>
      <x:c r="F18" s="9" t="str">
        <x:v>Ties are kept together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38" hidden="0" customWidth="1"/>
    <x:col min="4" max="4" width="38" hidden="0" customWidth="1"/>
    <x:col min="5" max="5" width="24" hidden="0" customWidth="1"/>
    <x:col min="6" max="6" width="24" hidden="0" customWidth="1"/>
  </x:cols>
  <x:sheetData>
    <x:row r="1">
      <x:c r="A1" s="11" t="str">
        <x:v>Quality control and resumable checkpoint manifest</x:v>
      </x:c>
      <x:c r="B1" s="11" t="str">
        <x:v>Quality control and resumable checkpoint manifest</x:v>
      </x:c>
      <x:c r="C1" s="11" t="str">
        <x:v>Quality control and resumable checkpoint manifest</x:v>
      </x:c>
      <x:c r="D1" s="11" t="str">
        <x:v>Quality control and resumable checkpoint manifest</x:v>
      </x:c>
      <x:c r="E1" s="11" t="str">
        <x:v>Quality control and resumable checkpoint manifest</x:v>
      </x:c>
      <x:c r="F1" s="11" t="str">
        <x:v>Quality control and resumable checkpoint manifest</x:v>
      </x:c>
    </x:row>
    <x:row r="3" ht="34" customHeight="1">
      <x:c r="A3" s="7" t="str">
        <x:v>Check</x:v>
      </x:c>
      <x:c r="B3" s="7" t="str">
        <x:v>Value</x:v>
      </x:c>
      <x:c r="C3" s="7" t="str">
        <x:v>Status</x:v>
      </x:c>
      <x:c r="D3" s="7" t="str">
        <x:v>Checkpoint</x:v>
      </x:c>
      <x:c r="E3" s="7" t="str">
        <x:v>Date</x:v>
      </x:c>
      <x:c r="F3" s="7" t="str">
        <x:v>Note</x:v>
      </x:c>
    </x:row>
    <x:row r="4">
      <x:c r="A4" s="9" t="str">
        <x:v>locations</x:v>
      </x:c>
      <x:c r="B4" s="9" t="n">
        <x:v>63</x:v>
      </x:c>
      <x:c r="C4" s="9" t="str">
        <x:v>Completed</x:v>
      </x:c>
      <x:c r="D4" s="9" t="str">
        <x:v>checkpoints/integration_qa.json</x:v>
      </x:c>
      <x:c r="E4" s="9" t="str">
        <x:v>2026-09-05</x:v>
      </x:c>
      <x:c r="F4" s="9" t="str">
        <x:v>Manager-validated integration check</x:v>
      </x:c>
    </x:row>
    <x:row r="5">
      <x:c r="A5" s="9" t="str">
        <x:v>distinct_locations</x:v>
      </x:c>
      <x:c r="B5" s="9" t="n">
        <x:v>63</x:v>
      </x:c>
      <x:c r="C5" s="9" t="str">
        <x:v>Completed</x:v>
      </x:c>
      <x:c r="D5" s="9" t="str">
        <x:v>checkpoints/integration_qa.json</x:v>
      </x:c>
      <x:c r="E5" s="9" t="str">
        <x:v>2026-09-05</x:v>
      </x:c>
      <x:c r="F5" s="9" t="str">
        <x:v>Manager-validated integration check</x:v>
      </x:c>
    </x:row>
    <x:row r="6">
      <x:c r="A6" s="9" t="str">
        <x:v>buy_proxy_missing</x:v>
      </x:c>
      <x:c r="B6" s="9" t="n">
        <x:v>0</x:v>
      </x:c>
      <x:c r="C6" s="9" t="str">
        <x:v>Completed</x:v>
      </x:c>
      <x:c r="D6" s="9" t="str">
        <x:v>checkpoints/integration_qa.json</x:v>
      </x:c>
      <x:c r="E6" s="9" t="str">
        <x:v>2026-09-05</x:v>
      </x:c>
      <x:c r="F6" s="9" t="str">
        <x:v>Manager-validated integration check</x:v>
      </x:c>
    </x:row>
    <x:row r="7">
      <x:c r="A7" s="9" t="str">
        <x:v>rent_proxy_missing</x:v>
      </x:c>
      <x:c r="B7" s="9" t="n">
        <x:v>0</x:v>
      </x:c>
      <x:c r="C7" s="9" t="str">
        <x:v>Completed</x:v>
      </x:c>
      <x:c r="D7" s="9" t="str">
        <x:v>checkpoints/integration_qa.json</x:v>
      </x:c>
      <x:c r="E7" s="9" t="str">
        <x:v>2026-09-05</x:v>
      </x:c>
      <x:c r="F7" s="9" t="str">
        <x:v>Manager-validated integration check</x:v>
      </x:c>
    </x:row>
    <x:row r="8">
      <x:c r="A8" s="9" t="str">
        <x:v>crime_score_missing</x:v>
      </x:c>
      <x:c r="B8" s="9" t="n">
        <x:v>5</x:v>
      </x:c>
      <x:c r="C8" s="9" t="str">
        <x:v>Completed</x:v>
      </x:c>
      <x:c r="D8" s="9" t="str">
        <x:v>checkpoints/integration_qa.json</x:v>
      </x:c>
      <x:c r="E8" s="9" t="str">
        <x:v>2026-09-05</x:v>
      </x:c>
      <x:c r="F8" s="9" t="str">
        <x:v>Manager-validated integration check</x:v>
      </x:c>
    </x:row>
    <x:row r="9">
      <x:c r="A9" s="9" t="str">
        <x:v>buy_market_count_missing</x:v>
      </x:c>
      <x:c r="B9" s="9" t="n">
        <x:v>0</x:v>
      </x:c>
      <x:c r="C9" s="9" t="str">
        <x:v>Completed</x:v>
      </x:c>
      <x:c r="D9" s="9" t="str">
        <x:v>checkpoints/integration_qa.json</x:v>
      </x:c>
      <x:c r="E9" s="9" t="str">
        <x:v>2026-09-05</x:v>
      </x:c>
      <x:c r="F9" s="9" t="str">
        <x:v>Manager-validated integration check</x:v>
      </x:c>
    </x:row>
    <x:row r="10">
      <x:c r="A10" s="9" t="str">
        <x:v>rent_market_count_missing</x:v>
      </x:c>
      <x:c r="B10" s="9" t="n">
        <x:v>0</x:v>
      </x:c>
      <x:c r="C10" s="9" t="str">
        <x:v>Completed</x:v>
      </x:c>
      <x:c r="D10" s="9" t="str">
        <x:v>checkpoints/integration_qa.json</x:v>
      </x:c>
      <x:c r="E10" s="9" t="str">
        <x:v>2026-09-05</x:v>
      </x:c>
      <x:c r="F10" s="9" t="str">
        <x:v>Manager-validated integration check</x:v>
      </x:c>
    </x:row>
    <x:row r="11">
      <x:c r="A11" s="9" t="str">
        <x:v>shortlist_size</x:v>
      </x:c>
      <x:c r="B11" s="9" t="n">
        <x:v>16</x:v>
      </x:c>
      <x:c r="C11" s="9" t="str">
        <x:v>Completed</x:v>
      </x:c>
      <x:c r="D11" s="9" t="str">
        <x:v>checkpoints/integration_qa.json</x:v>
      </x:c>
      <x:c r="E11" s="9" t="str">
        <x:v>2026-09-05</x:v>
      </x:c>
      <x:c r="F11" s="9" t="str">
        <x:v>Manager-validated integration check</x:v>
      </x:c>
    </x:row>
    <x:row r="12">
      <x:c r="A12" s="9" t="str">
        <x:v>shortlist_top_buy_covered</x:v>
      </x:c>
      <x:c r="B12" s="9" t="n">
        <x:v>12</x:v>
      </x:c>
      <x:c r="C12" s="9" t="str">
        <x:v>Completed</x:v>
      </x:c>
      <x:c r="D12" s="9" t="str">
        <x:v>checkpoints/integration_qa.json</x:v>
      </x:c>
      <x:c r="E12" s="9" t="str">
        <x:v>2026-09-05</x:v>
      </x:c>
      <x:c r="F12" s="9" t="str">
        <x:v>Manager-validated integration check</x:v>
      </x:c>
    </x:row>
    <x:row r="13">
      <x:c r="A13" s="9" t="str">
        <x:v>shortlist_top_rent_covered</x:v>
      </x:c>
      <x:c r="B13" s="9" t="n">
        <x:v>12</x:v>
      </x:c>
      <x:c r="C13" s="9" t="str">
        <x:v>Completed</x:v>
      </x:c>
      <x:c r="D13" s="9" t="str">
        <x:v>checkpoints/integration_qa.json</x:v>
      </x:c>
      <x:c r="E13" s="9" t="str">
        <x:v>2026-09-05</x:v>
      </x:c>
      <x:c r="F13" s="9" t="str">
        <x:v>Manager-validated integration check</x:v>
      </x:c>
    </x:row>
    <x:row r="14">
      <x:c r="A14" s="9" t="str">
        <x:v>buy_tertile_thresholds</x:v>
      </x:c>
      <x:c r="B14" s="9" t="str">
        <x:v>110000 to 137000</x:v>
      </x:c>
      <x:c r="C14" s="9" t="str">
        <x:v>Completed</x:v>
      </x:c>
      <x:c r="D14" s="9" t="str">
        <x:v>checkpoints/integration_qa.json</x:v>
      </x:c>
      <x:c r="E14" s="9" t="str">
        <x:v>2026-09-05</x:v>
      </x:c>
      <x:c r="F14" s="9" t="str">
        <x:v>Manager-validated integration check</x:v>
      </x:c>
    </x:row>
    <x:row r="15">
      <x:c r="A15" s="9" t="str">
        <x:v>rent_tertile_thresholds</x:v>
      </x:c>
      <x:c r="B15" s="9" t="str">
        <x:v>578 to 696</x:v>
      </x:c>
      <x:c r="C15" s="9" t="str">
        <x:v>Completed</x:v>
      </x:c>
      <x:c r="D15" s="9" t="str">
        <x:v>checkpoints/integration_qa.json</x:v>
      </x:c>
      <x:c r="E15" s="9" t="str">
        <x:v>2026-09-05</x:v>
      </x:c>
      <x:c r="F15" s="9" t="str">
        <x:v>Manager-validated integration check</x:v>
      </x:c>
    </x:row>
    <x:row r="20" ht="34" customHeight="1">
      <x:c r="A20" s="7" t="str">
        <x:v>Checkpoint</x:v>
      </x:c>
      <x:c r="B20" s="7" t="str">
        <x:v>Path / gate</x:v>
      </x:c>
      <x:c r="C20" s="7" t="str">
        <x:v>Status</x:v>
      </x:c>
      <x:c r="D20" s="7" t="str">
        <x:v>Contents</x:v>
      </x:c>
    </x:row>
    <x:row r="21">
      <x:c r="A21" s="9" t="str">
        <x:v>Stage 0</x:v>
      </x:c>
      <x:c r="B21" s="9" t="str">
        <x:v>checkpoints/stage0_framework.md</x:v>
      </x:c>
      <x:c r="C21" s="9" t="str">
        <x:v>Complete</x:v>
      </x:c>
      <x:c r="D21" s="9" t="str">
        <x:v>Frozen rubric and shortlist rule</x:v>
      </x:c>
    </x:row>
    <x:row r="22">
      <x:c r="A22" s="9" t="str">
        <x:v>Stage 1 geography/crime</x:v>
      </x:c>
      <x:c r="B22" s="9" t="str">
        <x:v>checkpoints/geography_crime.json</x:v>
      </x:c>
      <x:c r="C22" s="9" t="str">
        <x:v>Complete</x:v>
      </x:c>
      <x:c r="D22" s="9" t="str">
        <x:v>63-row source-backed proxy</x:v>
      </x:c>
    </x:row>
    <x:row r="23">
      <x:c r="A23" s="9" t="str">
        <x:v>Stage 1 affordability</x:v>
      </x:c>
      <x:c r="B23" s="9" t="str">
        <x:v>checkpoints/affordability.json</x:v>
      </x:c>
      <x:c r="C23" s="9" t="str">
        <x:v>Complete</x:v>
      </x:c>
      <x:c r="D23" s="9" t="str">
        <x:v>63-row buy/rent proxies</x:v>
      </x:c>
    </x:row>
    <x:row r="24">
      <x:c r="A24" s="9" t="str">
        <x:v>Stage 1 market</x:v>
      </x:c>
      <x:c r="B24" s="9" t="str">
        <x:v>checkpoints/market_thickness.json</x:v>
      </x:c>
      <x:c r="C24" s="9" t="str">
        <x:v>Complete</x:v>
      </x:c>
      <x:c r="D24" s="9" t="str">
        <x:v>63-row buy/rent portal-count snapshot</x:v>
      </x:c>
    </x:row>
    <x:row r="25">
      <x:c r="A25" s="9" t="str">
        <x:v>Stage 1 transport</x:v>
      </x:c>
      <x:c r="B25" s="9" t="str">
        <x:v>checkpoints/transport.json</x:v>
      </x:c>
      <x:c r="C25" s="9" t="str">
        <x:v>Complete</x:v>
      </x:c>
      <x:c r="D25" s="9" t="str">
        <x:v>63-row transport screen</x:v>
      </x:c>
    </x:row>
    <x:row r="26">
      <x:c r="A26" s="9" t="str">
        <x:v>Stage 1 environment</x:v>
      </x:c>
      <x:c r="B26" s="9" t="str">
        <x:v>checkpoints/environment.json</x:v>
      </x:c>
      <x:c r="C26" s="9" t="str">
        <x:v>Complete</x:v>
      </x:c>
      <x:c r="D26" s="9" t="str">
        <x:v>63-row quiet/condition screen</x:v>
      </x:c>
    </x:row>
    <x:row r="27">
      <x:c r="A27" s="9" t="str">
        <x:v>Integrated data</x:v>
      </x:c>
      <x:c r="B27" s="9" t="str">
        <x:v>checkpoints/stage1_broad_screen.json</x:v>
      </x:c>
      <x:c r="C27" s="9" t="str">
        <x:v>Complete</x:v>
      </x:c>
      <x:c r="D27" s="9" t="str">
        <x:v>Canonical merged checkpoint</x:v>
      </x:c>
    </x:row>
    <x:row r="28">
      <x:c r="A28" s="9" t="str">
        <x:v>Stage 2</x:v>
      </x:c>
      <x:c r="B28" s="9" t="str">
        <x:v>checkpoints/stage2_rankings.json</x:v>
      </x:c>
      <x:c r="C28" s="9" t="str">
        <x:v>Complete</x:v>
      </x:c>
      <x:c r="D28" s="9" t="str">
        <x:v>Separate rankings and proposed shortlist</x:v>
      </x:c>
    </x:row>
    <x:row r="29">
      <x:c r="A29" s="9" t="str">
        <x:v>Next action</x:v>
      </x:c>
      <x:c r="B29" s="9" t="str">
        <x:v>User approval</x:v>
      </x:c>
      <x:c r="C29" s="9" t="str">
        <x:v>Pending</x:v>
      </x:c>
      <x:c r="D29" s="9" t="str">
        <x:v>Do not begin Stage 3 before approval</x:v>
      </x:c>
    </x:row>
  </x:sheetData>
  <x:mergeCells>
    <x:mergeCell ref="A1:F1"/>
  </x:mergeCells>
  <x:pageMargins left="0.7" right="0.7" top="0.75" bottom="0.75" header="0.3" footer="0.3"/>
</x:worksheet>
</file>